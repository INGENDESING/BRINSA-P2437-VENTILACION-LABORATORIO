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LISTA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"/>
  </numFmts>
  <fonts count="29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name val="Times New Roman"/>
      <b val="1"/>
      <color theme="1"/>
      <sz val="15"/>
    </font>
    <font>
      <name val="Times New Roman"/>
      <b val="1"/>
      <i val="1"/>
      <color theme="1"/>
      <sz val="15"/>
    </font>
    <font>
      <name val="Times New Roman"/>
      <color theme="1"/>
      <sz val="11"/>
    </font>
    <font>
      <name val="Times New Roman"/>
      <color theme="1"/>
      <sz val="15"/>
    </font>
    <font>
      <name val="Times New Roman"/>
      <b val="1"/>
      <color theme="1"/>
      <sz val="16"/>
    </font>
    <font>
      <name val="Times New Roman"/>
      <b val="1"/>
      <color rgb="00375623"/>
      <sz val="28"/>
    </font>
    <font>
      <name val="Times New Roman"/>
      <sz val="28"/>
    </font>
    <font>
      <name val="Times New Roman"/>
      <b val="1"/>
      <sz val="28"/>
    </font>
    <font>
      <name val="Times New Roman"/>
      <color rgb="FF00B050"/>
      <sz val="12"/>
    </font>
    <font>
      <name val="Times New Roman"/>
      <b val="1"/>
      <sz val="12"/>
    </font>
    <font>
      <name val="Times New Roman"/>
      <color theme="1"/>
      <sz val="12"/>
    </font>
    <font>
      <name val="Times New Roman"/>
      <b val="1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C6E0B4"/>
        <bgColor rgb="00C6E0B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25" fillId="0" borderId="1" applyAlignment="1" pivotButton="0" quotePrefix="0" xfId="1">
      <alignment horizontal="center"/>
    </xf>
    <xf numFmtId="0" fontId="19" fillId="0" borderId="2" pivotButton="0" quotePrefix="0" xfId="0"/>
    <xf numFmtId="0" fontId="19" fillId="0" borderId="4" pivotButton="0" quotePrefix="0" xfId="0"/>
    <xf numFmtId="0" fontId="25" fillId="0" borderId="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19" fillId="0" borderId="3" pivotButton="0" quotePrefix="0" xfId="0"/>
    <xf numFmtId="0" fontId="19" fillId="0" borderId="0" pivotButton="0" quotePrefix="0" xfId="0"/>
    <xf numFmtId="0" fontId="19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9" fillId="0" borderId="6" pivotButton="0" quotePrefix="0" xfId="0"/>
    <xf numFmtId="0" fontId="19" fillId="0" borderId="7" pivotButton="0" quotePrefix="0" xfId="0"/>
    <xf numFmtId="0" fontId="19" fillId="0" borderId="8" pivotButton="0" quotePrefix="0" xfId="0"/>
    <xf numFmtId="0" fontId="26" fillId="0" borderId="1" applyAlignment="1" pivotButton="0" quotePrefix="0" xfId="1">
      <alignment horizontal="center" vertical="center"/>
    </xf>
    <xf numFmtId="0" fontId="19" fillId="0" borderId="9" pivotButton="0" quotePrefix="0" xfId="0"/>
    <xf numFmtId="0" fontId="19" fillId="0" borderId="10" pivotButton="0" quotePrefix="0" xfId="0"/>
    <xf numFmtId="0" fontId="27" fillId="0" borderId="0" applyAlignment="1" pivotButton="0" quotePrefix="0" xfId="1">
      <alignment horizontal="center"/>
    </xf>
    <xf numFmtId="0" fontId="0" fillId="0" borderId="3" pivotButton="0" quotePrefix="0" xfId="0"/>
    <xf numFmtId="0" fontId="28" fillId="4" borderId="1" applyAlignment="1" pivotButton="0" quotePrefix="0" xfId="1">
      <alignment horizontal="center" vertical="center" wrapText="1"/>
    </xf>
    <xf numFmtId="0" fontId="19" fillId="0" borderId="1" applyAlignment="1" pivotButton="0" quotePrefix="0" xfId="1">
      <alignment horizontal="center" vertical="center" wrapText="1"/>
    </xf>
    <xf numFmtId="0" fontId="27" fillId="0" borderId="1" applyAlignment="1" pivotButton="0" quotePrefix="0" xfId="1">
      <alignment horizontal="center" vertical="center" wrapText="1"/>
    </xf>
    <xf numFmtId="0" fontId="27" fillId="0" borderId="0" applyAlignment="1" pivotButton="0" quotePrefix="0" xfId="1">
      <alignment horizontal="center" vertical="center" wrapText="1"/>
    </xf>
    <xf numFmtId="43" fontId="6" fillId="0" borderId="0" applyAlignment="1" pivotButton="0" quotePrefix="0" xfId="3">
      <alignment vertical="center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horizontal="left" vertical="center" wrapText="1" indent="4"/>
    </xf>
    <xf numFmtId="0" fontId="19" fillId="0" borderId="11" pivotButton="0" quotePrefix="0" xfId="0"/>
    <xf numFmtId="0" fontId="19" fillId="0" borderId="12" pivotButton="0" quotePrefix="0" xfId="0"/>
    <xf numFmtId="0" fontId="21" fillId="3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0" fontId="22" fillId="5" borderId="13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left" vertical="top" wrapText="1"/>
    </xf>
    <xf numFmtId="0" fontId="0" fillId="0" borderId="13" pivotButton="0" quotePrefix="0" xfId="0"/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44" t="n"/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6" t="n"/>
      <c r="N1" s="47" t="n"/>
      <c r="O1" s="45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9" t="n"/>
      <c r="Z1" s="27" t="inlineStr">
        <is>
          <t>DISEÑO DE INGENIERÍA</t>
        </is>
      </c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9" t="n"/>
      <c r="BC1" s="26" t="inlineStr">
        <is>
          <t>CODIGO:</t>
        </is>
      </c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1" t="n"/>
      <c r="BO1" s="25" t="inlineStr">
        <is>
          <t>P2437-HV-LIS-001</t>
        </is>
      </c>
      <c r="BP1" s="52" t="n"/>
      <c r="BQ1" s="52" t="n"/>
      <c r="BR1" s="52" t="n"/>
      <c r="BS1" s="52" t="n"/>
      <c r="BT1" s="52" t="n"/>
      <c r="BU1" s="52" t="n"/>
      <c r="BV1" s="52" t="n"/>
      <c r="BW1" s="52" t="n"/>
      <c r="BX1" s="52" t="n"/>
      <c r="BY1" s="52" t="n"/>
      <c r="BZ1" s="53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4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6" t="n"/>
      <c r="N2" s="54" t="n"/>
      <c r="O2" s="55" t="n"/>
      <c r="Y2" s="57" t="n"/>
      <c r="Z2" s="58" t="n"/>
      <c r="AA2" s="59" t="n"/>
      <c r="AB2" s="59" t="n"/>
      <c r="AC2" s="59" t="n"/>
      <c r="AD2" s="59" t="n"/>
      <c r="AE2" s="59" t="n"/>
      <c r="AF2" s="59" t="n"/>
      <c r="AG2" s="59" t="n"/>
      <c r="AH2" s="59" t="n"/>
      <c r="AI2" s="59" t="n"/>
      <c r="AJ2" s="59" t="n"/>
      <c r="AK2" s="59" t="n"/>
      <c r="AL2" s="59" t="n"/>
      <c r="AM2" s="59" t="n"/>
      <c r="AN2" s="59" t="n"/>
      <c r="AO2" s="59" t="n"/>
      <c r="AP2" s="59" t="n"/>
      <c r="AQ2" s="59" t="n"/>
      <c r="AR2" s="59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60" t="n"/>
      <c r="BC2" s="26" t="inlineStr">
        <is>
          <t>REVISION:</t>
        </is>
      </c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1" t="n"/>
      <c r="BO2" s="25" t="inlineStr">
        <is>
          <t>CERO (0)</t>
        </is>
      </c>
      <c r="BP2" s="52" t="n"/>
      <c r="BQ2" s="52" t="n"/>
      <c r="BR2" s="52" t="n"/>
      <c r="BS2" s="52" t="n"/>
      <c r="BT2" s="52" t="n"/>
      <c r="BU2" s="52" t="n"/>
      <c r="BV2" s="52" t="n"/>
      <c r="BW2" s="52" t="n"/>
      <c r="BX2" s="52" t="n"/>
      <c r="BY2" s="52" t="n"/>
      <c r="BZ2" s="53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4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54" t="n"/>
      <c r="O3" s="55" t="n"/>
      <c r="Y3" s="57" t="n"/>
      <c r="Z3" s="27" t="inlineStr">
        <is>
          <t>SISTEMA HVAC LABORATORIO BRINSA</t>
        </is>
      </c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9" t="n"/>
      <c r="BC3" s="26" t="inlineStr">
        <is>
          <t>FECHA:</t>
        </is>
      </c>
      <c r="BD3" s="50" t="n"/>
      <c r="BE3" s="50" t="n"/>
      <c r="BF3" s="50" t="n"/>
      <c r="BG3" s="50" t="n"/>
      <c r="BH3" s="50" t="n"/>
      <c r="BI3" s="50" t="n"/>
      <c r="BJ3" s="50" t="n"/>
      <c r="BK3" s="50" t="n"/>
      <c r="BL3" s="50" t="n"/>
      <c r="BM3" s="50" t="n"/>
      <c r="BN3" s="51" t="n"/>
      <c r="BO3" s="25" t="inlineStr">
        <is>
          <t>JULIO 23 DEL 2026</t>
        </is>
      </c>
      <c r="BP3" s="52" t="n"/>
      <c r="BQ3" s="52" t="n"/>
      <c r="BR3" s="52" t="n"/>
      <c r="BS3" s="52" t="n"/>
      <c r="BT3" s="52" t="n"/>
      <c r="BU3" s="52" t="n"/>
      <c r="BV3" s="52" t="n"/>
      <c r="BW3" s="52" t="n"/>
      <c r="BX3" s="52" t="n"/>
      <c r="BY3" s="52" t="n"/>
      <c r="BZ3" s="53" t="n"/>
    </row>
    <row r="4" ht="25" customFormat="1" customHeight="1" s="2">
      <c r="A4" s="54" t="n"/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6" t="n"/>
      <c r="N4" s="54" t="n"/>
      <c r="O4" s="55" t="n"/>
      <c r="Y4" s="57" t="n"/>
      <c r="Z4" s="58" t="n"/>
      <c r="AA4" s="59" t="n"/>
      <c r="AB4" s="59" t="n"/>
      <c r="AC4" s="59" t="n"/>
      <c r="AD4" s="59" t="n"/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60" t="n"/>
      <c r="BC4" s="26" t="inlineStr">
        <is>
          <t>ELABORO:</t>
        </is>
      </c>
      <c r="BD4" s="50" t="n"/>
      <c r="BE4" s="50" t="n"/>
      <c r="BF4" s="50" t="n"/>
      <c r="BG4" s="50" t="n"/>
      <c r="BH4" s="50" t="n"/>
      <c r="BI4" s="50" t="n"/>
      <c r="BJ4" s="50" t="n"/>
      <c r="BK4" s="50" t="n"/>
      <c r="BL4" s="50" t="n"/>
      <c r="BM4" s="50" t="n"/>
      <c r="BN4" s="51" t="n"/>
      <c r="BO4" s="25" t="inlineStr">
        <is>
          <t>J.ARBOLEDA</t>
        </is>
      </c>
      <c r="BP4" s="52" t="n"/>
      <c r="BQ4" s="52" t="n"/>
      <c r="BR4" s="52" t="n"/>
      <c r="BS4" s="52" t="n"/>
      <c r="BT4" s="52" t="n"/>
      <c r="BU4" s="52" t="n"/>
      <c r="BV4" s="52" t="n"/>
      <c r="BW4" s="52" t="n"/>
      <c r="BX4" s="52" t="n"/>
      <c r="BY4" s="52" t="n"/>
      <c r="BZ4" s="53" t="n"/>
    </row>
    <row r="5" ht="25" customFormat="1" customHeight="1" s="2">
      <c r="A5" s="61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3" t="n"/>
      <c r="N5" s="61" t="n"/>
      <c r="O5" s="62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60" t="n"/>
      <c r="Z5" s="31" t="inlineStr">
        <is>
          <t>LISTADO DE EQUIPOS Y MATERIALES (BOQ): SISTEMA DE VENTILACIÓN DEL LABORATORIO</t>
        </is>
      </c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  <c r="AY5" s="48" t="n"/>
      <c r="AZ5" s="48" t="n"/>
      <c r="BA5" s="48" t="n"/>
      <c r="BB5" s="49" t="n"/>
      <c r="BC5" s="26" t="inlineStr">
        <is>
          <t>REVISO:</t>
        </is>
      </c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0" t="n"/>
      <c r="BN5" s="51" t="n"/>
      <c r="BO5" s="25" t="inlineStr">
        <is>
          <t>F.NAVIA</t>
        </is>
      </c>
      <c r="BP5" s="52" t="n"/>
      <c r="BQ5" s="52" t="n"/>
      <c r="BR5" s="52" t="n"/>
      <c r="BS5" s="52" t="n"/>
      <c r="BT5" s="52" t="n"/>
      <c r="BU5" s="52" t="n"/>
      <c r="BV5" s="52" t="n"/>
      <c r="BW5" s="52" t="n"/>
      <c r="BX5" s="52" t="n"/>
      <c r="BY5" s="52" t="n"/>
      <c r="BZ5" s="53" t="n"/>
    </row>
    <row r="6" ht="25" customFormat="1" customHeight="1" s="2">
      <c r="A6" s="64" t="inlineStr">
        <is>
          <t>PROYECTO</t>
        </is>
      </c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6" t="n"/>
      <c r="N6" s="64" t="inlineStr">
        <is>
          <t>P2437</t>
        </is>
      </c>
      <c r="O6" s="65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1" t="n"/>
      <c r="Z6" s="58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60" t="n"/>
      <c r="BC6" s="26" t="inlineStr">
        <is>
          <t>APROBO:</t>
        </is>
      </c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1" t="n"/>
      <c r="BO6" s="25" t="inlineStr">
        <is>
          <t>H.ROSERO</t>
        </is>
      </c>
      <c r="BP6" s="52" t="n"/>
      <c r="BQ6" s="52" t="n"/>
      <c r="BR6" s="52" t="n"/>
      <c r="BS6" s="52" t="n"/>
      <c r="BT6" s="52" t="n"/>
      <c r="BU6" s="52" t="n"/>
      <c r="BV6" s="52" t="n"/>
      <c r="BW6" s="52" t="n"/>
      <c r="BX6" s="52" t="n"/>
      <c r="BY6" s="52" t="n"/>
      <c r="BZ6" s="53" t="n"/>
    </row>
    <row r="7" ht="15" customHeight="1">
      <c r="A7" s="55" t="n"/>
      <c r="B7" s="55" t="n"/>
      <c r="C7" s="55" t="n"/>
      <c r="D7" s="55" t="n"/>
      <c r="E7" s="55" t="n"/>
      <c r="F7" s="55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A8" s="55" t="n"/>
      <c r="B8" s="55" t="n"/>
      <c r="C8" s="55" t="n"/>
      <c r="D8" s="55" t="n"/>
      <c r="E8" s="55" t="n"/>
      <c r="F8" s="55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A9" s="55" t="n"/>
      <c r="B9" s="55" t="n"/>
      <c r="C9" s="55" t="n"/>
      <c r="D9" s="55" t="n"/>
      <c r="E9" s="55" t="n"/>
      <c r="F9" s="55" t="n"/>
      <c r="G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A10" s="55" t="n"/>
      <c r="B10" s="55" t="n"/>
      <c r="C10" s="55" t="n"/>
      <c r="D10" s="55" t="n"/>
      <c r="E10" s="55" t="n"/>
      <c r="F10" s="55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A11" s="55" t="n"/>
      <c r="B11" s="55" t="n"/>
      <c r="C11" s="55" t="n"/>
      <c r="D11" s="55" t="n"/>
      <c r="E11" s="55" t="n"/>
      <c r="F11" s="55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A12" s="55" t="n"/>
      <c r="B12" s="55" t="n"/>
      <c r="C12" s="55" t="n"/>
      <c r="D12" s="55" t="n"/>
      <c r="E12" s="55" t="n"/>
      <c r="F12" s="55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A13" s="55" t="n"/>
      <c r="B13" s="55" t="n"/>
      <c r="C13" s="55" t="n"/>
      <c r="D13" s="55" t="n"/>
      <c r="E13" s="55" t="n"/>
      <c r="F13" s="55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A14" s="55" t="n"/>
      <c r="B14" s="55" t="n"/>
      <c r="C14" s="55" t="n"/>
      <c r="D14" s="55" t="n"/>
      <c r="E14" s="55" t="n"/>
      <c r="F14" s="55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A15" s="55" t="n"/>
      <c r="B15" s="55" t="n"/>
      <c r="C15" s="55" t="n"/>
      <c r="D15" s="55" t="n"/>
      <c r="E15" s="55" t="n"/>
      <c r="F15" s="55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A16" s="55" t="n"/>
      <c r="B16" s="55" t="n"/>
      <c r="C16" s="55" t="n"/>
      <c r="D16" s="55" t="n"/>
      <c r="E16" s="55" t="n"/>
      <c r="F16" s="55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A17" s="55" t="n"/>
      <c r="B17" s="55" t="n"/>
      <c r="C17" s="55" t="n"/>
      <c r="D17" s="55" t="n"/>
      <c r="E17" s="55" t="n"/>
      <c r="F17" s="55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A18" s="55" t="n"/>
      <c r="B18" s="55" t="n"/>
      <c r="C18" s="55" t="n"/>
      <c r="D18" s="55" t="n"/>
      <c r="E18" s="55" t="n"/>
      <c r="F18" s="55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A19" s="55" t="n"/>
      <c r="B19" s="55" t="n"/>
      <c r="C19" s="55" t="n"/>
      <c r="D19" s="55" t="n"/>
      <c r="E19" s="55" t="n"/>
      <c r="F19" s="55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A20" s="55" t="n"/>
      <c r="B20" s="55" t="n"/>
      <c r="C20" s="55" t="n"/>
      <c r="D20" s="55" t="n"/>
      <c r="E20" s="55" t="n"/>
      <c r="F20" s="55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A21" s="55" t="n"/>
      <c r="B21" s="55" t="n"/>
      <c r="C21" s="55" t="n"/>
      <c r="D21" s="55" t="n"/>
      <c r="E21" s="55" t="n"/>
      <c r="F21" s="55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21" t="n"/>
      <c r="Q21" s="21" t="n"/>
      <c r="R21" s="41" t="inlineStr">
        <is>
          <t>Elaborado por:</t>
        </is>
      </c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9" t="n"/>
      <c r="AF21" s="41" t="inlineStr">
        <is>
          <t>Revisado por:</t>
        </is>
      </c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9" t="n"/>
      <c r="AT21" s="41" t="inlineStr">
        <is>
          <t>Aprobado por:</t>
        </is>
      </c>
      <c r="AU21" s="48" t="n"/>
      <c r="AV21" s="48" t="n"/>
      <c r="AW21" s="48" t="n"/>
      <c r="AX21" s="48" t="n"/>
      <c r="AY21" s="48" t="n"/>
      <c r="AZ21" s="48" t="n"/>
      <c r="BA21" s="48" t="n"/>
      <c r="BB21" s="48" t="n"/>
      <c r="BC21" s="48" t="n"/>
      <c r="BD21" s="48" t="n"/>
      <c r="BE21" s="48" t="n"/>
      <c r="BF21" s="48" t="n"/>
      <c r="BG21" s="49" t="n"/>
    </row>
    <row r="22" ht="15" customHeight="1">
      <c r="A22" s="55" t="n"/>
      <c r="B22" s="55" t="n"/>
      <c r="C22" s="55" t="n"/>
      <c r="D22" s="55" t="n"/>
      <c r="E22" s="55" t="n"/>
      <c r="F22" s="55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21" t="n"/>
      <c r="Q22" s="21" t="n"/>
      <c r="R22" s="68" t="n"/>
      <c r="AE22" s="57" t="n"/>
      <c r="AF22" s="68" t="n"/>
      <c r="AS22" s="57" t="n"/>
      <c r="AT22" s="68" t="n"/>
      <c r="BG22" s="57" t="n"/>
    </row>
    <row r="23" ht="15" customHeight="1">
      <c r="A23" s="55" t="n"/>
      <c r="B23" s="55" t="n"/>
      <c r="C23" s="55" t="n"/>
      <c r="D23" s="55" t="n"/>
      <c r="E23" s="55" t="n"/>
      <c r="F23" s="55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21" t="n"/>
      <c r="Q23" s="21" t="n"/>
      <c r="R23" s="58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60" t="n"/>
      <c r="AF23" s="58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60" t="n"/>
      <c r="AT23" s="58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60" t="n"/>
    </row>
    <row r="24" ht="15" customHeight="1">
      <c r="A24" s="55" t="n"/>
      <c r="B24" s="55" t="n"/>
      <c r="C24" s="55" t="n"/>
      <c r="D24" s="55" t="n"/>
      <c r="E24" s="55" t="n"/>
      <c r="F24" s="55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21" t="n"/>
      <c r="Q24" s="21" t="n"/>
      <c r="R24" s="23" t="inlineStr">
        <is>
          <t>J.ARBOLEDA</t>
        </is>
      </c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9" t="n"/>
      <c r="AF24" s="24" t="n"/>
      <c r="AG24" s="48" t="n"/>
      <c r="AH24" s="48" t="n"/>
      <c r="AI24" s="48" t="n"/>
      <c r="AJ24" s="48" t="n"/>
      <c r="AK24" s="48" t="n"/>
      <c r="AL24" s="48" t="n"/>
      <c r="AM24" s="48" t="n"/>
      <c r="AN24" s="48" t="n"/>
      <c r="AO24" s="48" t="n"/>
      <c r="AP24" s="48" t="n"/>
      <c r="AQ24" s="48" t="n"/>
      <c r="AR24" s="48" t="n"/>
      <c r="AS24" s="49" t="n"/>
      <c r="AT24" s="24" t="n"/>
      <c r="AU24" s="48" t="n"/>
      <c r="AV24" s="48" t="n"/>
      <c r="AW24" s="48" t="n"/>
      <c r="AX24" s="48" t="n"/>
      <c r="AY24" s="48" t="n"/>
      <c r="AZ24" s="48" t="n"/>
      <c r="BA24" s="48" t="n"/>
      <c r="BB24" s="48" t="n"/>
      <c r="BC24" s="48" t="n"/>
      <c r="BD24" s="48" t="n"/>
      <c r="BE24" s="48" t="n"/>
      <c r="BF24" s="48" t="n"/>
      <c r="BG24" s="49" t="n"/>
    </row>
    <row r="25" ht="15" customHeight="1">
      <c r="A25" s="55" t="n"/>
      <c r="B25" s="55" t="n"/>
      <c r="C25" s="55" t="n"/>
      <c r="D25" s="55" t="n"/>
      <c r="E25" s="55" t="n"/>
      <c r="F25" s="55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21" t="n"/>
      <c r="Q25" s="21" t="n"/>
      <c r="R25" s="68" t="n"/>
      <c r="AE25" s="57" t="n"/>
      <c r="AF25" s="68" t="n"/>
      <c r="AS25" s="57" t="n"/>
      <c r="AT25" s="68" t="n"/>
      <c r="BG25" s="57" t="n"/>
    </row>
    <row r="26" ht="15" customHeight="1">
      <c r="A26" s="55" t="n"/>
      <c r="B26" s="55" t="n"/>
      <c r="C26" s="55" t="n"/>
      <c r="D26" s="55" t="n"/>
      <c r="E26" s="55" t="n"/>
      <c r="F26" s="55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21" t="n"/>
      <c r="Q26" s="21" t="n"/>
      <c r="R26" s="58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60" t="n"/>
      <c r="AF26" s="58" t="n"/>
      <c r="AG26" s="59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60" t="n"/>
      <c r="AT26" s="58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60" t="n"/>
    </row>
    <row r="27" ht="15" customHeight="1">
      <c r="A27" s="55" t="n"/>
      <c r="B27" s="55" t="n"/>
      <c r="C27" s="55" t="n"/>
      <c r="D27" s="55" t="n"/>
      <c r="E27" s="55" t="n"/>
      <c r="F27" s="55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21" t="n"/>
      <c r="Q27" s="21" t="n"/>
      <c r="R27" s="24">
        <f>"Fecha :"&amp;BO3</f>
        <v/>
      </c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9" t="n"/>
      <c r="AF27" s="24">
        <f>"Fecha :"&amp;CC1</f>
        <v/>
      </c>
      <c r="AG27" s="48" t="n"/>
      <c r="AH27" s="48" t="n"/>
      <c r="AI27" s="48" t="n"/>
      <c r="AJ27" s="48" t="n"/>
      <c r="AK27" s="48" t="n"/>
      <c r="AL27" s="48" t="n"/>
      <c r="AM27" s="48" t="n"/>
      <c r="AN27" s="48" t="n"/>
      <c r="AO27" s="48" t="n"/>
      <c r="AP27" s="48" t="n"/>
      <c r="AQ27" s="48" t="n"/>
      <c r="AR27" s="48" t="n"/>
      <c r="AS27" s="49" t="n"/>
      <c r="AT27" s="24">
        <f>"Fecha :"&amp;CC2</f>
        <v/>
      </c>
      <c r="AU27" s="48" t="n"/>
      <c r="AV27" s="48" t="n"/>
      <c r="AW27" s="48" t="n"/>
      <c r="AX27" s="48" t="n"/>
      <c r="AY27" s="48" t="n"/>
      <c r="AZ27" s="48" t="n"/>
      <c r="BA27" s="48" t="n"/>
      <c r="BB27" s="48" t="n"/>
      <c r="BC27" s="48" t="n"/>
      <c r="BD27" s="48" t="n"/>
      <c r="BE27" s="48" t="n"/>
      <c r="BF27" s="48" t="n"/>
      <c r="BG27" s="49" t="n"/>
    </row>
    <row r="28" ht="15" customHeight="1">
      <c r="A28" s="55" t="n"/>
      <c r="B28" s="55" t="n"/>
      <c r="C28" s="55" t="n"/>
      <c r="D28" s="55" t="n"/>
      <c r="E28" s="55" t="n"/>
      <c r="F28" s="55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21" t="n"/>
      <c r="Q28" s="21" t="n"/>
      <c r="R28" s="68" t="n"/>
      <c r="AE28" s="57" t="n"/>
      <c r="AF28" s="68" t="n"/>
      <c r="AS28" s="57" t="n"/>
      <c r="AT28" s="68" t="n"/>
      <c r="BG28" s="57" t="n"/>
    </row>
    <row r="29" ht="15" customHeight="1">
      <c r="A29" s="55" t="n"/>
      <c r="B29" s="55" t="n"/>
      <c r="C29" s="55" t="n"/>
      <c r="D29" s="55" t="n"/>
      <c r="E29" s="55" t="n"/>
      <c r="F29" s="55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21" t="n"/>
      <c r="Q29" s="21" t="n"/>
      <c r="R29" s="58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60" t="n"/>
      <c r="AF29" s="58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60" t="n"/>
      <c r="AT29" s="58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60" t="n"/>
    </row>
    <row r="30" ht="15" customHeight="1">
      <c r="A30" s="55" t="n"/>
      <c r="B30" s="55" t="n"/>
      <c r="C30" s="55" t="n"/>
      <c r="D30" s="55" t="n"/>
      <c r="E30" s="55" t="n"/>
      <c r="F30" s="55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A31" s="55" t="n"/>
      <c r="B31" s="55" t="n"/>
      <c r="C31" s="55" t="n"/>
      <c r="D31" s="55" t="n"/>
      <c r="E31" s="55" t="n"/>
      <c r="F31" s="55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A32" s="55" t="n"/>
      <c r="B32" s="55" t="n"/>
      <c r="C32" s="55" t="n"/>
      <c r="D32" s="55" t="n"/>
      <c r="E32" s="55" t="n"/>
      <c r="F32" s="55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A33" s="55" t="n"/>
      <c r="B33" s="55" t="n"/>
      <c r="C33" s="55" t="n"/>
      <c r="D33" s="55" t="n"/>
      <c r="E33" s="55" t="n"/>
      <c r="F33" s="55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A34" s="55" t="n"/>
      <c r="B34" s="55" t="n"/>
      <c r="C34" s="55" t="n"/>
      <c r="D34" s="55" t="n"/>
      <c r="E34" s="55" t="n"/>
      <c r="F34" s="55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A35" s="55" t="n"/>
      <c r="B35" s="55" t="n"/>
      <c r="C35" s="55" t="n"/>
      <c r="D35" s="55" t="n"/>
      <c r="E35" s="55" t="n"/>
      <c r="F35" s="55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A36" s="55" t="n"/>
      <c r="B36" s="55" t="n"/>
      <c r="C36" s="55" t="n"/>
      <c r="D36" s="55" t="n"/>
      <c r="E36" s="55" t="n"/>
      <c r="F36" s="55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A37" s="55" t="n"/>
      <c r="B37" s="55" t="n"/>
      <c r="C37" s="55" t="n"/>
      <c r="D37" s="55" t="n"/>
      <c r="E37" s="55" t="n"/>
      <c r="F37" s="55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A38" s="55" t="n"/>
      <c r="B38" s="55" t="n"/>
      <c r="C38" s="55" t="n"/>
      <c r="D38" s="55" t="n"/>
      <c r="E38" s="55" t="n"/>
      <c r="F38" s="55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A39" s="55" t="n"/>
      <c r="B39" s="55" t="n"/>
      <c r="C39" s="55" t="n"/>
      <c r="D39" s="55" t="n"/>
      <c r="E39" s="55" t="n"/>
      <c r="F39" s="55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9" t="inlineStr">
        <is>
          <t>Versión</t>
        </is>
      </c>
      <c r="P39" s="48" t="n"/>
      <c r="Q39" s="48" t="n"/>
      <c r="R39" s="48" t="n"/>
      <c r="S39" s="48" t="n"/>
      <c r="T39" s="48" t="n"/>
      <c r="U39" s="49" t="n"/>
      <c r="V39" s="42" t="inlineStr">
        <is>
          <t>Autor</t>
        </is>
      </c>
      <c r="W39" s="48" t="n"/>
      <c r="X39" s="48" t="n"/>
      <c r="Y39" s="48" t="n"/>
      <c r="Z39" s="48" t="n"/>
      <c r="AA39" s="48" t="n"/>
      <c r="AB39" s="49" t="n"/>
      <c r="AC39" s="43" t="inlineStr">
        <is>
          <t>Descripción</t>
        </is>
      </c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48" t="n"/>
      <c r="AN39" s="48" t="n"/>
      <c r="AO39" s="49" t="n"/>
      <c r="AP39" s="42" t="inlineStr">
        <is>
          <t>Fecha de elaboración</t>
        </is>
      </c>
      <c r="AQ39" s="48" t="n"/>
      <c r="AR39" s="48" t="n"/>
      <c r="AS39" s="48" t="n"/>
      <c r="AT39" s="48" t="n"/>
      <c r="AU39" s="48" t="n"/>
      <c r="AV39" s="49" t="n"/>
      <c r="AW39" s="42" t="inlineStr">
        <is>
          <t>Fecha de revisión</t>
        </is>
      </c>
      <c r="AX39" s="48" t="n"/>
      <c r="AY39" s="48" t="n"/>
      <c r="AZ39" s="48" t="n"/>
      <c r="BA39" s="48" t="n"/>
      <c r="BB39" s="48" t="n"/>
      <c r="BC39" s="49" t="n"/>
      <c r="BD39" s="42" t="inlineStr">
        <is>
          <t>Revisado por</t>
        </is>
      </c>
      <c r="BE39" s="48" t="n"/>
      <c r="BF39" s="48" t="n"/>
      <c r="BG39" s="48" t="n"/>
      <c r="BH39" s="48" t="n"/>
      <c r="BI39" s="48" t="n"/>
      <c r="BJ39" s="49" t="n"/>
    </row>
    <row r="40" ht="15" customHeight="1">
      <c r="A40" s="55" t="n"/>
      <c r="B40" s="55" t="n"/>
      <c r="C40" s="55" t="n"/>
      <c r="D40" s="55" t="n"/>
      <c r="E40" s="55" t="n"/>
      <c r="F40" s="55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54" t="n"/>
      <c r="U40" s="57" t="n"/>
      <c r="V40" s="68" t="n"/>
      <c r="AB40" s="57" t="n"/>
      <c r="AC40" s="68" t="n"/>
      <c r="AO40" s="57" t="n"/>
      <c r="AP40" s="68" t="n"/>
      <c r="AV40" s="57" t="n"/>
      <c r="AW40" s="68" t="n"/>
      <c r="BC40" s="57" t="n"/>
      <c r="BD40" s="68" t="n"/>
      <c r="BJ40" s="57" t="n"/>
    </row>
    <row r="41" ht="15" customHeight="1">
      <c r="A41" s="55" t="n"/>
      <c r="B41" s="55" t="n"/>
      <c r="C41" s="55" t="n"/>
      <c r="D41" s="55" t="n"/>
      <c r="E41" s="55" t="n"/>
      <c r="F41" s="55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1" t="n"/>
      <c r="P41" s="59" t="n"/>
      <c r="Q41" s="59" t="n"/>
      <c r="R41" s="59" t="n"/>
      <c r="S41" s="59" t="n"/>
      <c r="T41" s="59" t="n"/>
      <c r="U41" s="60" t="n"/>
      <c r="V41" s="58" t="n"/>
      <c r="W41" s="59" t="n"/>
      <c r="X41" s="59" t="n"/>
      <c r="Y41" s="59" t="n"/>
      <c r="Z41" s="59" t="n"/>
      <c r="AA41" s="59" t="n"/>
      <c r="AB41" s="60" t="n"/>
      <c r="AC41" s="58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60" t="n"/>
      <c r="AP41" s="58" t="n"/>
      <c r="AQ41" s="59" t="n"/>
      <c r="AR41" s="59" t="n"/>
      <c r="AS41" s="59" t="n"/>
      <c r="AT41" s="59" t="n"/>
      <c r="AU41" s="59" t="n"/>
      <c r="AV41" s="60" t="n"/>
      <c r="AW41" s="58" t="n"/>
      <c r="AX41" s="59" t="n"/>
      <c r="AY41" s="59" t="n"/>
      <c r="AZ41" s="59" t="n"/>
      <c r="BA41" s="59" t="n"/>
      <c r="BB41" s="59" t="n"/>
      <c r="BC41" s="60" t="n"/>
      <c r="BD41" s="58" t="n"/>
      <c r="BE41" s="59" t="n"/>
      <c r="BF41" s="59" t="n"/>
      <c r="BG41" s="59" t="n"/>
      <c r="BH41" s="59" t="n"/>
      <c r="BI41" s="59" t="n"/>
      <c r="BJ41" s="60" t="n"/>
    </row>
    <row r="42" ht="15" customHeight="1">
      <c r="A42" s="55" t="n"/>
      <c r="B42" s="55" t="n"/>
      <c r="C42" s="55" t="n"/>
      <c r="D42" s="55" t="n"/>
      <c r="E42" s="55" t="n"/>
      <c r="F42" s="55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70" t="inlineStr">
        <is>
          <t>CERO (0)</t>
        </is>
      </c>
      <c r="P42" s="48" t="n"/>
      <c r="Q42" s="48" t="n"/>
      <c r="R42" s="48" t="n"/>
      <c r="S42" s="48" t="n"/>
      <c r="T42" s="48" t="n"/>
      <c r="U42" s="49" t="n"/>
      <c r="V42" s="37" t="inlineStr">
        <is>
          <t>J.ARBOLEDA</t>
        </is>
      </c>
      <c r="W42" s="48" t="n"/>
      <c r="X42" s="48" t="n"/>
      <c r="Y42" s="48" t="n"/>
      <c r="Z42" s="48" t="n"/>
      <c r="AA42" s="48" t="n"/>
      <c r="AB42" s="49" t="n"/>
      <c r="AC42" s="38" t="inlineStr">
        <is>
          <t>Emitido para cotizacion</t>
        </is>
      </c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9" t="n"/>
      <c r="AP42" s="39">
        <f>BO3</f>
        <v/>
      </c>
      <c r="AQ42" s="48" t="n"/>
      <c r="AR42" s="48" t="n"/>
      <c r="AS42" s="48" t="n"/>
      <c r="AT42" s="48" t="n"/>
      <c r="AU42" s="48" t="n"/>
      <c r="AV42" s="49" t="n"/>
      <c r="AW42" s="39">
        <f>AT27</f>
        <v/>
      </c>
      <c r="AX42" s="48" t="n"/>
      <c r="AY42" s="48" t="n"/>
      <c r="AZ42" s="48" t="n"/>
      <c r="BA42" s="48" t="n"/>
      <c r="BB42" s="48" t="n"/>
      <c r="BC42" s="49" t="n"/>
      <c r="BD42" s="40">
        <f>BO5</f>
        <v/>
      </c>
      <c r="BE42" s="48" t="n"/>
      <c r="BF42" s="48" t="n"/>
      <c r="BG42" s="48" t="n"/>
      <c r="BH42" s="48" t="n"/>
      <c r="BI42" s="48" t="n"/>
      <c r="BJ42" s="49" t="n"/>
    </row>
    <row r="43" ht="15" customHeight="1">
      <c r="A43" s="55" t="n"/>
      <c r="B43" s="55" t="n"/>
      <c r="C43" s="55" t="n"/>
      <c r="D43" s="55" t="n"/>
      <c r="E43" s="55" t="n"/>
      <c r="F43" s="55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54" t="n"/>
      <c r="U43" s="57" t="n"/>
      <c r="V43" s="68" t="n"/>
      <c r="AB43" s="57" t="n"/>
      <c r="AC43" s="68" t="n"/>
      <c r="AO43" s="57" t="n"/>
      <c r="AP43" s="68" t="n"/>
      <c r="AV43" s="57" t="n"/>
      <c r="AW43" s="68" t="n"/>
      <c r="BC43" s="57" t="n"/>
      <c r="BD43" s="68" t="n"/>
      <c r="BJ43" s="57" t="n"/>
      <c r="BP43" s="21" t="n"/>
    </row>
    <row r="44" ht="15" customHeight="1">
      <c r="A44" s="55" t="n"/>
      <c r="B44" s="55" t="n"/>
      <c r="C44" s="55" t="n"/>
      <c r="D44" s="55" t="n"/>
      <c r="E44" s="55" t="n"/>
      <c r="F44" s="55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1" t="n"/>
      <c r="P44" s="59" t="n"/>
      <c r="Q44" s="59" t="n"/>
      <c r="R44" s="59" t="n"/>
      <c r="S44" s="59" t="n"/>
      <c r="T44" s="59" t="n"/>
      <c r="U44" s="60" t="n"/>
      <c r="V44" s="58" t="n"/>
      <c r="W44" s="59" t="n"/>
      <c r="X44" s="59" t="n"/>
      <c r="Y44" s="59" t="n"/>
      <c r="Z44" s="59" t="n"/>
      <c r="AA44" s="59" t="n"/>
      <c r="AB44" s="60" t="n"/>
      <c r="AC44" s="58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60" t="n"/>
      <c r="AP44" s="58" t="n"/>
      <c r="AQ44" s="59" t="n"/>
      <c r="AR44" s="59" t="n"/>
      <c r="AS44" s="59" t="n"/>
      <c r="AT44" s="59" t="n"/>
      <c r="AU44" s="59" t="n"/>
      <c r="AV44" s="60" t="n"/>
      <c r="AW44" s="58" t="n"/>
      <c r="AX44" s="59" t="n"/>
      <c r="AY44" s="59" t="n"/>
      <c r="AZ44" s="59" t="n"/>
      <c r="BA44" s="59" t="n"/>
      <c r="BB44" s="59" t="n"/>
      <c r="BC44" s="60" t="n"/>
      <c r="BD44" s="58" t="n"/>
      <c r="BE44" s="59" t="n"/>
      <c r="BF44" s="59" t="n"/>
      <c r="BG44" s="59" t="n"/>
      <c r="BH44" s="59" t="n"/>
      <c r="BI44" s="59" t="n"/>
      <c r="BJ44" s="60" t="n"/>
    </row>
    <row r="45" ht="15" customHeight="1">
      <c r="A45" s="55" t="n"/>
      <c r="B45" s="55" t="n"/>
      <c r="C45" s="55" t="n"/>
      <c r="D45" s="55" t="n"/>
      <c r="E45" s="55" t="n"/>
      <c r="F45" s="55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71" t="n"/>
      <c r="P45" s="48" t="n"/>
      <c r="Q45" s="48" t="n"/>
      <c r="R45" s="48" t="n"/>
      <c r="S45" s="48" t="n"/>
      <c r="T45" s="48" t="n"/>
      <c r="U45" s="49" t="n"/>
      <c r="V45" s="20" t="n"/>
      <c r="W45" s="48" t="n"/>
      <c r="X45" s="48" t="n"/>
      <c r="Y45" s="48" t="n"/>
      <c r="Z45" s="48" t="n"/>
      <c r="AA45" s="48" t="n"/>
      <c r="AB45" s="49" t="n"/>
      <c r="AC45" s="22" t="n"/>
      <c r="AD45" s="48" t="n"/>
      <c r="AE45" s="48" t="n"/>
      <c r="AF45" s="48" t="n"/>
      <c r="AG45" s="48" t="n"/>
      <c r="AH45" s="48" t="n"/>
      <c r="AI45" s="48" t="n"/>
      <c r="AJ45" s="48" t="n"/>
      <c r="AK45" s="48" t="n"/>
      <c r="AL45" s="48" t="n"/>
      <c r="AM45" s="48" t="n"/>
      <c r="AN45" s="48" t="n"/>
      <c r="AO45" s="49" t="n"/>
      <c r="AP45" s="20" t="n"/>
      <c r="AQ45" s="48" t="n"/>
      <c r="AR45" s="48" t="n"/>
      <c r="AS45" s="48" t="n"/>
      <c r="AT45" s="48" t="n"/>
      <c r="AU45" s="48" t="n"/>
      <c r="AV45" s="49" t="n"/>
      <c r="AW45" s="20" t="n"/>
      <c r="AX45" s="48" t="n"/>
      <c r="AY45" s="48" t="n"/>
      <c r="AZ45" s="48" t="n"/>
      <c r="BA45" s="48" t="n"/>
      <c r="BB45" s="48" t="n"/>
      <c r="BC45" s="49" t="n"/>
      <c r="BD45" s="20" t="n"/>
      <c r="BE45" s="48" t="n"/>
      <c r="BF45" s="48" t="n"/>
      <c r="BG45" s="48" t="n"/>
      <c r="BH45" s="48" t="n"/>
      <c r="BI45" s="48" t="n"/>
      <c r="BJ45" s="49" t="n"/>
    </row>
    <row r="46" ht="15" customHeight="1">
      <c r="A46" s="55" t="n"/>
      <c r="B46" s="55" t="n"/>
      <c r="C46" s="55" t="n"/>
      <c r="D46" s="55" t="n"/>
      <c r="E46" s="55" t="n"/>
      <c r="F46" s="55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54" t="n"/>
      <c r="U46" s="57" t="n"/>
      <c r="V46" s="68" t="n"/>
      <c r="AB46" s="57" t="n"/>
      <c r="AC46" s="68" t="n"/>
      <c r="AO46" s="57" t="n"/>
      <c r="AP46" s="68" t="n"/>
      <c r="AV46" s="57" t="n"/>
      <c r="AW46" s="68" t="n"/>
      <c r="BC46" s="57" t="n"/>
      <c r="BD46" s="68" t="n"/>
      <c r="BJ46" s="57" t="n"/>
    </row>
    <row r="47" ht="15" customHeight="1">
      <c r="A47" s="55" t="n"/>
      <c r="B47" s="55" t="n"/>
      <c r="C47" s="55" t="n"/>
      <c r="D47" s="55" t="n"/>
      <c r="E47" s="55" t="n"/>
      <c r="F47" s="55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1" t="n"/>
      <c r="P47" s="59" t="n"/>
      <c r="Q47" s="59" t="n"/>
      <c r="R47" s="59" t="n"/>
      <c r="S47" s="59" t="n"/>
      <c r="T47" s="59" t="n"/>
      <c r="U47" s="60" t="n"/>
      <c r="V47" s="58" t="n"/>
      <c r="W47" s="59" t="n"/>
      <c r="X47" s="59" t="n"/>
      <c r="Y47" s="59" t="n"/>
      <c r="Z47" s="59" t="n"/>
      <c r="AA47" s="59" t="n"/>
      <c r="AB47" s="60" t="n"/>
      <c r="AC47" s="58" t="n"/>
      <c r="AD47" s="59" t="n"/>
      <c r="AE47" s="59" t="n"/>
      <c r="AF47" s="59" t="n"/>
      <c r="AG47" s="59" t="n"/>
      <c r="AH47" s="59" t="n"/>
      <c r="AI47" s="59" t="n"/>
      <c r="AJ47" s="59" t="n"/>
      <c r="AK47" s="59" t="n"/>
      <c r="AL47" s="59" t="n"/>
      <c r="AM47" s="59" t="n"/>
      <c r="AN47" s="59" t="n"/>
      <c r="AO47" s="60" t="n"/>
      <c r="AP47" s="58" t="n"/>
      <c r="AQ47" s="59" t="n"/>
      <c r="AR47" s="59" t="n"/>
      <c r="AS47" s="59" t="n"/>
      <c r="AT47" s="59" t="n"/>
      <c r="AU47" s="59" t="n"/>
      <c r="AV47" s="60" t="n"/>
      <c r="AW47" s="58" t="n"/>
      <c r="AX47" s="59" t="n"/>
      <c r="AY47" s="59" t="n"/>
      <c r="AZ47" s="59" t="n"/>
      <c r="BA47" s="59" t="n"/>
      <c r="BB47" s="59" t="n"/>
      <c r="BC47" s="60" t="n"/>
      <c r="BD47" s="58" t="n"/>
      <c r="BE47" s="59" t="n"/>
      <c r="BF47" s="59" t="n"/>
      <c r="BG47" s="59" t="n"/>
      <c r="BH47" s="59" t="n"/>
      <c r="BI47" s="59" t="n"/>
      <c r="BJ47" s="60" t="n"/>
    </row>
    <row r="48" ht="15" customHeight="1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72" t="n"/>
      <c r="V48" s="19" t="n"/>
      <c r="AC48" s="19" t="n"/>
      <c r="AP48" s="19" t="n"/>
      <c r="AW48" s="19" t="n"/>
      <c r="BD48" s="19" t="n"/>
    </row>
    <row r="49" ht="15" customHeight="1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</row>
    <row r="50" ht="15" customHeight="1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</row>
    <row r="52" ht="15" customHeight="1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</row>
    <row r="54" ht="15" customHeight="1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13" customWidth="1" min="18" max="18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5" max="35"/>
  </cols>
  <sheetData>
    <row r="1" ht="29.25" customHeight="1">
      <c r="A1" s="74" t="n"/>
      <c r="B1" s="75" t="n"/>
      <c r="C1" s="74">
        <f>PORTADA!Z1</f>
        <v/>
      </c>
      <c r="D1" s="65" t="n"/>
      <c r="E1" s="65" t="n"/>
      <c r="F1" s="65" t="n"/>
      <c r="G1" s="65" t="n"/>
      <c r="H1" s="65" t="n"/>
      <c r="I1" s="65" t="n"/>
      <c r="J1" s="65" t="n"/>
      <c r="K1" s="65" t="n"/>
      <c r="L1" s="66" t="n"/>
      <c r="M1" s="76" t="inlineStr">
        <is>
          <t>CODIGO:</t>
        </is>
      </c>
      <c r="N1" s="77">
        <f>PORTADA!BO1</f>
        <v/>
      </c>
      <c r="O1" s="66" t="n"/>
    </row>
    <row r="2" ht="29.25" customHeight="1">
      <c r="A2" s="78" t="n"/>
      <c r="B2" s="78" t="n"/>
      <c r="C2" s="74">
        <f>PORTADA!Z3</f>
        <v/>
      </c>
      <c r="D2" s="45" t="n"/>
      <c r="E2" s="45" t="n"/>
      <c r="F2" s="45" t="n"/>
      <c r="G2" s="45" t="n"/>
      <c r="H2" s="45" t="n"/>
      <c r="I2" s="45" t="n"/>
      <c r="J2" s="45" t="n"/>
      <c r="K2" s="45" t="n"/>
      <c r="L2" s="46" t="n"/>
      <c r="M2" s="76" t="inlineStr">
        <is>
          <t>REVISION:</t>
        </is>
      </c>
      <c r="N2" s="77">
        <f>PORTADA!BO2</f>
        <v/>
      </c>
      <c r="O2" s="66" t="n"/>
    </row>
    <row r="3" ht="29.25" customHeight="1">
      <c r="A3" s="78" t="n"/>
      <c r="B3" s="78" t="n"/>
      <c r="C3" s="61" t="n"/>
      <c r="D3" s="62" t="n"/>
      <c r="E3" s="62" t="n"/>
      <c r="F3" s="62" t="n"/>
      <c r="G3" s="62" t="n"/>
      <c r="H3" s="62" t="n"/>
      <c r="I3" s="62" t="n"/>
      <c r="J3" s="62" t="n"/>
      <c r="K3" s="62" t="n"/>
      <c r="L3" s="63" t="n"/>
      <c r="M3" s="76" t="inlineStr">
        <is>
          <t>FECHA:</t>
        </is>
      </c>
      <c r="N3" s="77">
        <f>PORTADA!BO3</f>
        <v/>
      </c>
      <c r="O3" s="66" t="n"/>
    </row>
    <row r="4" ht="29.25" customHeight="1">
      <c r="A4" s="78" t="n"/>
      <c r="B4" s="78" t="n"/>
      <c r="C4" s="74">
        <f>PORTADA!Z5</f>
        <v/>
      </c>
      <c r="D4" s="45" t="n"/>
      <c r="E4" s="45" t="n"/>
      <c r="F4" s="45" t="n"/>
      <c r="G4" s="45" t="n"/>
      <c r="H4" s="45" t="n"/>
      <c r="I4" s="45" t="n"/>
      <c r="J4" s="45" t="n"/>
      <c r="K4" s="45" t="n"/>
      <c r="L4" s="46" t="n"/>
      <c r="M4" s="76" t="inlineStr">
        <is>
          <t>ELABORO:</t>
        </is>
      </c>
      <c r="N4" s="77">
        <f>PORTADA!BO4</f>
        <v/>
      </c>
      <c r="O4" s="66" t="n"/>
    </row>
    <row r="5" ht="29.25" customHeight="1">
      <c r="A5" s="79" t="n"/>
      <c r="B5" s="79" t="n"/>
      <c r="C5" s="54" t="n"/>
      <c r="D5" s="55" t="n"/>
      <c r="E5" s="55" t="n"/>
      <c r="F5" s="55" t="n"/>
      <c r="G5" s="55" t="n"/>
      <c r="H5" s="55" t="n"/>
      <c r="I5" s="55" t="n"/>
      <c r="J5" s="55" t="n"/>
      <c r="K5" s="55" t="n"/>
      <c r="L5" s="56" t="n"/>
      <c r="M5" s="76" t="inlineStr">
        <is>
          <t xml:space="preserve">REVISO:      </t>
        </is>
      </c>
      <c r="N5" s="77">
        <f>PORTADA!BO5</f>
        <v/>
      </c>
      <c r="O5" s="66" t="n"/>
    </row>
    <row r="6" ht="29.25" customHeight="1">
      <c r="A6" s="76" t="inlineStr">
        <is>
          <t>PROYECTO:</t>
        </is>
      </c>
      <c r="B6" s="74">
        <f>PORTADA!N6</f>
        <v/>
      </c>
      <c r="C6" s="61" t="n"/>
      <c r="D6" s="62" t="n"/>
      <c r="E6" s="62" t="n"/>
      <c r="F6" s="62" t="n"/>
      <c r="G6" s="62" t="n"/>
      <c r="H6" s="62" t="n"/>
      <c r="I6" s="62" t="n"/>
      <c r="J6" s="62" t="n"/>
      <c r="K6" s="62" t="n"/>
      <c r="L6" s="63" t="n"/>
      <c r="M6" s="76" t="inlineStr">
        <is>
          <t>APROBO:</t>
        </is>
      </c>
      <c r="N6" s="77">
        <f>PORTADA!BO6</f>
        <v/>
      </c>
      <c r="O6" s="66" t="n"/>
    </row>
    <row r="7" ht="25" customHeight="1">
      <c r="A7" s="80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0" t="n">
        <v>7</v>
      </c>
      <c r="H7" s="80" t="n">
        <v>8</v>
      </c>
      <c r="I7" s="80" t="n">
        <v>9</v>
      </c>
      <c r="J7" s="80" t="n">
        <v>10</v>
      </c>
      <c r="K7" s="80" t="n">
        <v>11</v>
      </c>
      <c r="L7" s="80" t="n">
        <v>12</v>
      </c>
      <c r="M7" s="80" t="n">
        <v>13</v>
      </c>
      <c r="N7" s="80" t="n">
        <v>14</v>
      </c>
      <c r="O7" s="80" t="n">
        <v>15</v>
      </c>
    </row>
    <row r="8" ht="50" customHeight="1">
      <c r="A8" s="81" t="inlineStr">
        <is>
          <t>LISTADO DE EQUIPOS Y MATERIALES (BOQ): SISTEMA DE VENTILACIÓN DEL LABORATORIO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</row>
    <row r="9" ht="100" customHeight="1">
      <c r="A9" s="82" t="inlineStr">
        <is>
          <t>Listado de equipos y materiales (BOQ): sistema de ventilación del laboratorio</t>
        </is>
      </c>
    </row>
    <row r="10" ht="150" customHeight="1">
      <c r="A10" s="83" t="inlineStr">
        <is>
          <t>Proyecto: P2437-HV-INF-001 — BRINSA, laboratorio de análisis industrial, Cajicá (Cundinamarca)</t>
        </is>
      </c>
    </row>
    <row r="11" ht="100" customHeight="1">
      <c r="A11" s="83" t="inlineStr">
        <is>
          <t>Documento: listado_equipos.md — Revisión 0</t>
        </is>
      </c>
    </row>
    <row r="12" ht="150" customHeight="1">
      <c r="A12" s="83" t="inlineStr">
        <is>
          <t>Fecha: 2026-07-27 (fuentes consultadas el 2026-07-23; frente de ventiladores axiales ampliado el 2026-07-27)</t>
        </is>
      </c>
    </row>
    <row r="13" ht="200" customHeight="1">
      <c r="A13" s="83" t="inlineStr">
        <is>
          <t>Base: informe_investigacion.md (misma revisión); punto de diseño 3 840 m³/h @ 165 Pa en el sitio (225 Pa equivalente de catálogo, ρ = 1.2 kg/m³).</t>
        </is>
      </c>
    </row>
    <row r="14" ht="50" customHeight="1"/>
    <row r="15" ht="50" customHeight="1">
      <c r="A15" s="82" t="inlineStr">
        <is>
          <t>1. Alcance del suministro</t>
        </is>
      </c>
    </row>
    <row r="16" ht="450" customHeight="1">
      <c r="A16" s="83" t="inlineStr">
        <is>
          <t>1.1. El listado cubre todo lo necesario para que el sistema sea funcional: máquina de impulsión, etapa filtrante, rejillas de descarga y montaje, incluidas las protecciones eléctricas exigidas por RETIE/NTC 2050. Las cantidades corresponden a un (1) sistema completo para el laboratorio de 320 m³ (12 renovaciones/h).</t>
        </is>
      </c>
    </row>
    <row r="17" ht="50" customHeight="1"/>
    <row r="18" ht="150" customHeight="1">
      <c r="A18" s="82" t="inlineStr">
        <is>
          <t>2. Tabla de equipos y materiales</t>
        </is>
      </c>
    </row>
    <row r="19" ht="150" customHeight="1">
      <c r="A19" s="84" t="inlineStr">
        <is>
          <t>Tabla 1. BOQ del sistema de ventilación (consulta de fuentes 2026-07-23, ampliada 2026-07-27).</t>
        </is>
      </c>
    </row>
    <row r="20" ht="150" customHeight="1">
      <c r="A20" s="85" t="inlineStr">
        <is>
          <t>Ítem</t>
        </is>
      </c>
      <c r="B20" s="85" t="inlineStr">
        <is>
          <t>Función</t>
        </is>
      </c>
      <c r="C20" s="85" t="n"/>
      <c r="D20" s="85" t="inlineStr">
        <is>
          <t>Especificación clave</t>
        </is>
      </c>
      <c r="E20" s="85" t="n"/>
      <c r="F20" s="85" t="n"/>
      <c r="G20" s="85" t="inlineStr">
        <is>
          <t>Material / compatibilidad corrosiva</t>
        </is>
      </c>
      <c r="H20" s="85" t="n"/>
      <c r="I20" s="85" t="inlineStr">
        <is>
          <t>Cant.</t>
        </is>
      </c>
      <c r="J20" s="85" t="inlineStr">
        <is>
          <t>Candidatos comerciales (fabricante/modelo)</t>
        </is>
      </c>
      <c r="K20" s="85" t="n"/>
      <c r="L20" s="85" t="n"/>
      <c r="M20" s="85" t="inlineStr">
        <is>
          <t>Fuente</t>
        </is>
      </c>
      <c r="N20" s="85" t="n"/>
      <c r="O20" s="85" t="n"/>
    </row>
    <row r="21" ht="700" customHeight="1">
      <c r="A21" s="86" t="inlineStr">
        <is>
          <t>1</t>
        </is>
      </c>
      <c r="B21" s="86" t="inlineStr">
        <is>
          <t>Ventilador de inyección</t>
        </is>
      </c>
      <c r="C21" s="87" t="n"/>
      <c r="D21" s="86" t="inlineStr">
        <is>
          <t>Axial mural (placa mural) Ø560 mm, transmisión directa; 3 840 m³/h @ 225 Pa (catálogo, ρ = 1.2 kg/m³) ≡ 165 Pa en sitio; AMCA 210; RPM por confirmar con proveedor</t>
        </is>
      </c>
      <c r="E21" s="87" t="n"/>
      <c r="F21" s="87" t="n"/>
      <c r="G21" s="86" t="inlineStr">
        <is>
          <t>PRFV viniléster (ASTM C582/D4167) o acero con epóxico anticorrosivo; motor encapsulado en la corriente</t>
        </is>
      </c>
      <c r="H21" s="87" t="n"/>
      <c r="I21" s="86" t="inlineStr">
        <is>
          <t>1</t>
        </is>
      </c>
      <c r="J21" s="86" t="inlineStr">
        <is>
          <t>Sodeca HQD/HGT mural anticorrosivo (primera opción por uniformidad y canal local); Greenheck mural epóxico (Prime Lines HVAC, Bogotá); Aerovent/Twin City mural FRP; NYB FRP mural; Plastec PP</t>
        </is>
      </c>
      <c r="K21" s="87" t="n"/>
      <c r="L21" s="87" t="n"/>
      <c r="M21" s="86" t="inlineStr">
        <is>
          <t>Sodeca (https://www.sodeca.com); catálogo Sodeca CO (PDF) (https://www.sodeca.co/files/catalogs/es/SODECA_CT18_catalogo_resumen_CO.pdf); Greenheck (https://www.greenheck.com)</t>
        </is>
      </c>
      <c r="N21" s="87" t="n"/>
      <c r="O21" s="87" t="n"/>
    </row>
    <row r="22" ht="750" customHeight="1">
      <c r="A22" s="86" t="inlineStr">
        <is>
          <t>2</t>
        </is>
      </c>
      <c r="B22" s="86" t="inlineStr">
        <is>
          <t>Motor del ventilador (integrado en el cubo)</t>
        </is>
      </c>
      <c r="C22" s="87" t="n"/>
      <c r="D22" s="86" t="inlineStr">
        <is>
          <t>0.75 HP (provisional, confirmar con curva de selección final), TEFC encapsulado, clase F (H preferible), IP56 mín. (IP66 preferible), severe duty epóxico, eje inox; 440 V 3φ (confirmado por el cliente, 2026-07-23)</t>
        </is>
      </c>
      <c r="E22" s="87" t="n"/>
      <c r="F22" s="87" t="n"/>
      <c r="G22" s="86" t="inlineStr">
        <is>
          <t>Pintura epóxica + protección interna anticorrosiva; motor dentro de la corriente (transmisión directa) — ejecución reforzada</t>
        </is>
      </c>
      <c r="H22" s="87" t="n"/>
      <c r="I22" s="86" t="inlineStr">
        <is>
          <t>1</t>
        </is>
      </c>
      <c r="J22" s="86" t="inlineStr">
        <is>
          <t>Leeson/Regal Severe Duty; Baldor-Reliance IEEE 841XL; WEG W22 IEEE 841</t>
        </is>
      </c>
      <c r="K22" s="87" t="n"/>
      <c r="L22" s="87" t="n"/>
      <c r="M22" s="86" t="inlineStr">
        <is>
          <t>Leeson (PDF) (https://www.regalrexnord.com/-/media/documents/brands/literature/industries/leeson_product_catalog_1050.pdf); Baldor 841XL (https://www.baldor.com/mvc/DownloadCenter/Files/9AKK108319)</t>
        </is>
      </c>
      <c r="N22" s="87" t="n"/>
      <c r="O22" s="87" t="n"/>
    </row>
    <row r="23" ht="600" customHeight="1">
      <c r="A23" s="86" t="inlineStr">
        <is>
          <t>3</t>
        </is>
      </c>
      <c r="B23" s="86" t="inlineStr">
        <is>
          <t>Prefiltro (etapa 1)</t>
        </is>
      </c>
      <c r="C23" s="87" t="n"/>
      <c r="D23" s="86" t="inlineStr">
        <is>
          <t>Plisado MERV 8 (ASHRAE 52.2); ΔP limpio 50-75 Pa, final 250 Pa (catálogo); 24×24 in</t>
        </is>
      </c>
      <c r="E23" s="87" t="n"/>
      <c r="F23" s="87" t="n"/>
      <c r="G23" s="86" t="inlineStr">
        <is>
          <t>Marco cartón hidrófugo; inspección de corrosión de la rejilla soporte en el primer año</t>
        </is>
      </c>
      <c r="H23" s="87" t="n"/>
      <c r="I23" s="86" t="inlineStr">
        <is>
          <t>1 (+ repuestos)</t>
        </is>
      </c>
      <c r="J23" s="86" t="inlineStr">
        <is>
          <t>Camfil 30/30 / Dual 9; Koch Multi-Pleat XL8</t>
        </is>
      </c>
      <c r="K23" s="87" t="n"/>
      <c r="L23" s="87" t="n"/>
      <c r="M23" s="86" t="inlineStr">
        <is>
          <t>Camfil 30/30 (PDF) (https://cdn.lsicloud.net/pandhwhsal/documents/406331002-SPS.pdf); Koch XL8 (PDF) (https://fsifiltration.com/wp-content/uploads/2020/08/Pleated-MERV8.pdf)</t>
        </is>
      </c>
      <c r="N23" s="87" t="n"/>
      <c r="O23" s="87" t="n"/>
    </row>
    <row r="24" ht="900" customHeight="1">
      <c r="A24" s="86" t="inlineStr">
        <is>
          <t>4</t>
        </is>
      </c>
      <c r="B24" s="86" t="inlineStr">
        <is>
          <t>Filtro final (etapa 2)</t>
        </is>
      </c>
      <c r="C24" s="87" t="n"/>
      <c r="D24" s="86" t="inlineStr">
        <is>
          <t>V-bank MERV 13-14 (52.2) ≡ ePM1 50-70 % (ISO 16890); ΔP limpio 80 Pa / final 210 Pa (catálogo) ≡ 59/154 Pa en sitio; 24×24 in</t>
        </is>
      </c>
      <c r="E24" s="87" t="n"/>
      <c r="F24" s="87" t="n"/>
      <c r="G24" s="86" t="inlineStr">
        <is>
          <t>Marco 100 % plástico (ABS/HIPS), sin metal; juntas PU</t>
        </is>
      </c>
      <c r="H24" s="87" t="n"/>
      <c r="I24" s="86" t="inlineStr">
        <is>
          <t>1 (+ repuestos)</t>
        </is>
      </c>
      <c r="J24" s="86" t="inlineStr">
        <is>
          <t>Camfil Durafil ES2/ES3 (MERV 14); AAF VariCel VXL; Freudenberg MaxiPleat MX 85</t>
        </is>
      </c>
      <c r="K24" s="87" t="n"/>
      <c r="L24" s="87" t="n"/>
      <c r="M24" s="86" t="inlineStr">
        <is>
          <t>Durafil ES2 (PDF) (https://cdn.lsicloud.net/pandhwhsal/documents/855080-003.pdf); AAF VXL (PDF) (https://aafterms.aafintl.com/-/media/files/aaf/commercial-and-industrial/us-products/box-filters/varicel-vxl/varicel-vxl_prod_mark_sht_afp-1-162.pdf)</t>
        </is>
      </c>
      <c r="N24" s="87" t="n"/>
      <c r="O24" s="87" t="n"/>
    </row>
    <row r="25" ht="550" customHeight="1">
      <c r="A25" s="86" t="inlineStr">
        <is>
          <t>5</t>
        </is>
      </c>
      <c r="B25" s="86" t="inlineStr">
        <is>
          <t>Marcos portafiltros</t>
        </is>
      </c>
      <c r="C25" s="87" t="n"/>
      <c r="D25" s="86" t="inlineStr">
        <is>
          <t>Holding frames para prefiltro + filtro final con junta continua, dentro de la cubierta</t>
        </is>
      </c>
      <c r="E25" s="87" t="n"/>
      <c r="F25" s="87" t="n"/>
      <c r="G25" s="86" t="inlineStr">
        <is>
          <t>Inox 304/316 (no galvanizado); junta PU/EPDM</t>
        </is>
      </c>
      <c r="H25" s="87" t="n"/>
      <c r="I25" s="86" t="inlineStr">
        <is>
          <t>1 juego</t>
        </is>
      </c>
      <c r="J25" s="86" t="inlineStr">
        <is>
          <t>Camfil MagnaFrame II (opción inox 304); Camfil Universal Holding Frame (inox)</t>
        </is>
      </c>
      <c r="K25" s="87" t="n"/>
      <c r="L25" s="87" t="n"/>
      <c r="M25" s="86" t="inlineStr">
        <is>
          <t>MagnaFrame II (https://www.camfil.com/en-ca/products/housings-frames--louvers/filter-holding-frames/filter-holding-frames/magnaframe-ii-gasket-seal-_-47771)</t>
        </is>
      </c>
      <c r="N25" s="87" t="n"/>
      <c r="O25" s="87" t="n"/>
    </row>
    <row r="26" ht="600" customHeight="1">
      <c r="A26" s="86" t="inlineStr">
        <is>
          <t>6</t>
        </is>
      </c>
      <c r="B26" s="86" t="inlineStr">
        <is>
          <t>Rejillas de descarga</t>
        </is>
      </c>
      <c r="C26" s="87" t="n"/>
      <c r="D26" s="86" t="inlineStr">
        <is>
          <t>Eggcrate ½ in, 353×336 mm facial; velocidad facial 3 m/s; ΔP 11 Pa en sitio (descarga libre); área libre ≥ 90 %</t>
        </is>
      </c>
      <c r="E26" s="87" t="n"/>
      <c r="F26" s="87" t="n"/>
      <c r="G26" s="86" t="inlineStr">
        <is>
          <t>Inox 316L (alternativa: aluminio anodizado 6063-T5); ensayo ASHRAE 70</t>
        </is>
      </c>
      <c r="H26" s="87" t="n"/>
      <c r="I26" s="86" t="inlineStr">
        <is>
          <t>3</t>
        </is>
      </c>
      <c r="J26" s="86" t="inlineStr">
        <is>
          <t>Titus 50F (versión inox); fabricación local ProAire S.A.S (corte láser inox); Laminaire</t>
        </is>
      </c>
      <c r="K26" s="87" t="n"/>
      <c r="L26" s="87" t="n"/>
      <c r="M26" s="86" t="inlineStr">
        <is>
          <t>Titus 50F (PDF) (https://www.titus-hvac.com/file/1228/50F_50Rrprod_specialized_2017.pdf); ProAire (https://www.proairecolombia.com/productos/rejillas-y-difusores.html)</t>
        </is>
      </c>
      <c r="N26" s="87" t="n"/>
      <c r="O26" s="87" t="n"/>
    </row>
    <row r="27" ht="500" customHeight="1">
      <c r="A27" s="86" t="inlineStr">
        <is>
          <t>7</t>
        </is>
      </c>
      <c r="B27" s="86" t="inlineStr">
        <is>
          <t>Malla anti-insectos</t>
        </is>
      </c>
      <c r="C27" s="87" t="n"/>
      <c r="D27" s="86" t="inlineStr">
        <is>
          <t>Tejido 18×18, abertura ≈1 mm, área abierta ≥ 48 %; marco desmontable para limpieza</t>
        </is>
      </c>
      <c r="E27" s="87" t="n"/>
      <c r="F27" s="87" t="n"/>
      <c r="G27" s="86" t="inlineStr">
        <is>
          <t>Inox 316</t>
        </is>
      </c>
      <c r="H27" s="87" t="n"/>
      <c r="I27" s="86" t="inlineStr">
        <is>
          <t>3 (una por rejilla) + 1 (boca de la cubierta)</t>
        </is>
      </c>
      <c r="J27" s="86" t="inlineStr">
        <is>
          <t>Proveedores de malla inox tejida (especificación genérica 18×18, alambre 0.45 mm)</t>
        </is>
      </c>
      <c r="K27" s="87" t="n"/>
      <c r="L27" s="87" t="n"/>
      <c r="M27" s="86" t="inlineStr">
        <is>
          <t>Tabla área abierta (https://www.industrialmetalmesh.com/sale-54819921-micron-304-316l-stainless-steel-wire-mesh-screen-filter-mesh.html)</t>
        </is>
      </c>
      <c r="N27" s="87" t="n"/>
      <c r="O27" s="87" t="n"/>
    </row>
    <row r="28" ht="600" customHeight="1">
      <c r="A28" s="86" t="inlineStr">
        <is>
          <t>8</t>
        </is>
      </c>
      <c r="B28" s="86" t="inlineStr">
        <is>
          <t>Estructura de unión y soportes</t>
        </is>
      </c>
      <c r="C28" s="87" t="n"/>
      <c r="D28" s="86" t="inlineStr">
        <is>
          <t>Marco de soporte pernado al muro para fijación del ventilador; soporta cargas estáticas, dinámicas y vibraciones; soportes de rejillas; pernos, tuercas, arandelas</t>
        </is>
      </c>
      <c r="E28" s="87" t="n"/>
      <c r="F28" s="87" t="n"/>
      <c r="G28" s="86" t="inlineStr">
        <is>
          <t>Perfiles ASTM A36 galvanizados en caliente + pintura epóxica; ferretería inox 316 (clase A4); aislamiento dieléctrico frente a galvanizado</t>
        </is>
      </c>
      <c r="H28" s="87" t="n"/>
      <c r="I28" s="86" t="inlineStr">
        <is>
          <t>1 + Lote</t>
        </is>
      </c>
      <c r="J28" s="86" t="inlineStr">
        <is>
          <t>Fabricación local a partir de planos del submittal del ventilador</t>
        </is>
      </c>
      <c r="K28" s="87" t="n"/>
      <c r="L28" s="87" t="n"/>
      <c r="M28" s="86" t="inlineStr">
        <is>
          <t>Marsh Fasteners (criterio 304 vs 316) (https://marshfasteners.com/304-vs-316-stainless-steel-bolts/)</t>
        </is>
      </c>
      <c r="N28" s="87" t="n"/>
      <c r="O28" s="87" t="n"/>
    </row>
    <row r="29" ht="700" customHeight="1">
      <c r="A29" s="86" t="inlineStr">
        <is>
          <t>9</t>
        </is>
      </c>
      <c r="B29" s="86" t="inlineStr">
        <is>
          <t>Cubierta intemperie</t>
        </is>
      </c>
      <c r="C29" s="87" t="n"/>
      <c r="D29" s="86" t="inlineStr">
        <is>
          <t>Protección contra lluvia/sol/ingreso de agua; aloja el banco de filtración (ítems 3-5 y malla); embridado directo a la placa mural del ventilador; acceso frontal/superior para cambio de filtros</t>
        </is>
      </c>
      <c r="E29" s="87" t="n"/>
      <c r="F29" s="87" t="n"/>
      <c r="G29" s="86" t="inlineStr">
        <is>
          <t>PRFV viniléster o acero galvanizado G90 con pintura electrostática epóxica; alternativa inox 316L; drenaje inferior</t>
        </is>
      </c>
      <c r="H29" s="87" t="n"/>
      <c r="I29" s="86" t="inlineStr">
        <is>
          <t>1</t>
        </is>
      </c>
      <c r="J29" s="86" t="inlineStr">
        <is>
          <t>Suministrada por el fabricante del ventilador o fabricación local según submittal</t>
        </is>
      </c>
      <c r="K29" s="87" t="n"/>
      <c r="L29" s="87" t="n"/>
      <c r="M29" s="86" t="inlineStr">
        <is>
          <t>Montaje típico de planta (Montaje/DISENOFINAL.png)</t>
        </is>
      </c>
      <c r="N29" s="87" t="n"/>
      <c r="O29" s="87" t="n"/>
    </row>
    <row r="30" ht="350" customHeight="1">
      <c r="A30" s="86" t="inlineStr">
        <is>
          <t>10</t>
        </is>
      </c>
      <c r="B30" s="86" t="inlineStr">
        <is>
          <t>Malla de protección interior</t>
        </is>
      </c>
      <c r="C30" s="87" t="n"/>
      <c r="D30" s="86" t="inlineStr">
        <is>
          <t>Jaula de seguridad en la descarga interior; evita contacto accidental con el impulsor; desmontable</t>
        </is>
      </c>
      <c r="E30" s="87" t="n"/>
      <c r="F30" s="87" t="n"/>
      <c r="G30" s="86" t="inlineStr">
        <is>
          <t>Malla inox 316 o galvanizada con pintura epóxica; marco rígido</t>
        </is>
      </c>
      <c r="H30" s="87" t="n"/>
      <c r="I30" s="86" t="inlineStr">
        <is>
          <t>1</t>
        </is>
      </c>
      <c r="J30" s="86" t="inlineStr">
        <is>
          <t>Fabricación local según submittal</t>
        </is>
      </c>
      <c r="K30" s="87" t="n"/>
      <c r="L30" s="87" t="n"/>
      <c r="M30" s="86" t="inlineStr">
        <is>
          <t>Montaje típico de planta (Montaje/DISENOFINAL.png)</t>
        </is>
      </c>
      <c r="N30" s="87" t="n"/>
      <c r="O30" s="87" t="n"/>
    </row>
    <row r="31" ht="800" customHeight="1">
      <c r="A31" s="86" t="inlineStr">
        <is>
          <t>11</t>
        </is>
      </c>
      <c r="B31" s="86" t="inlineStr">
        <is>
          <t>Selladores</t>
        </is>
      </c>
      <c r="C31" s="87" t="n"/>
      <c r="D31" s="86" t="inlineStr">
        <is>
          <t>Sellado de pasamuros, marcos y empalmes</t>
        </is>
      </c>
      <c r="E31" s="87" t="n"/>
      <c r="F31" s="87" t="n"/>
      <c r="G31" s="86" t="inlineStr">
        <is>
          <t>Silicona RTV neutra (no acetoxi); PU solo en zonas sin cloro gaseoso directo</t>
        </is>
      </c>
      <c r="H31" s="87" t="n"/>
      <c r="I31" s="86" t="inlineStr">
        <is>
          <t>Lote</t>
        </is>
      </c>
      <c r="J31" s="86" t="inlineStr">
        <is>
          <t>Sikaflex / silicona neutra grado industrial (suministro nacional)</t>
        </is>
      </c>
      <c r="K31" s="87" t="n"/>
      <c r="L31" s="87" t="n"/>
      <c r="M31" s="86" t="inlineStr">
        <is>
          <t>RTV silicone (PDF) (https://irp.cdn-website.com/63168859/files/uploaded/Chemical%20Resistance%20of%20RTV%20Silicone%20Sealants%20Chart.pdf); Tabla PU (PDF) (https://www.apachepipe.com/assets/chemical-resistance-table.pdf)</t>
        </is>
      </c>
      <c r="N31" s="87" t="n"/>
      <c r="O31" s="87" t="n"/>
    </row>
    <row r="32" ht="350" customHeight="1">
      <c r="A32" s="86" t="inlineStr">
        <is>
          <t>12</t>
        </is>
      </c>
      <c r="B32" s="86" t="inlineStr">
        <is>
          <t>Protecciones eléctricas y tablero</t>
        </is>
      </c>
      <c r="C32" s="87" t="n"/>
      <c r="D32" s="86" t="inlineStr">
        <is>
          <t>Guardamotor, contactor, seccionador, puesta a tierra; tablero IP55/IP66 según ubicación</t>
        </is>
      </c>
      <c r="E32" s="87" t="n"/>
      <c r="F32" s="87" t="n"/>
      <c r="G32" s="86" t="inlineStr">
        <is>
          <t>Gabinete con tratamiento anticorrosivo; prensaestopas niquelados o inox</t>
        </is>
      </c>
      <c r="H32" s="87" t="n"/>
      <c r="I32" s="86" t="inlineStr">
        <is>
          <t>1</t>
        </is>
      </c>
      <c r="J32" s="86" t="inlineStr">
        <is>
          <t>Fabricación local certificada RETIE; componentes Siemens/ABB/WEG</t>
        </is>
      </c>
      <c r="K32" s="87" t="n"/>
      <c r="L32" s="87" t="n"/>
      <c r="M32" s="86" t="inlineStr">
        <is>
          <t>Requisito RETIE / NTC 2050 (normativo, no de catálogo)</t>
        </is>
      </c>
      <c r="N32" s="87" t="n"/>
      <c r="O32" s="87" t="n"/>
    </row>
    <row r="33" ht="300" customHeight="1">
      <c r="A33" s="86" t="inlineStr">
        <is>
          <t>13</t>
        </is>
      </c>
      <c r="B33" s="86" t="inlineStr">
        <is>
          <t>Cableado y canalización</t>
        </is>
      </c>
      <c r="C33" s="87" t="n"/>
      <c r="D33" s="86" t="inlineStr">
        <is>
          <t>Circuito de alimentación del motor 0.75 HP</t>
        </is>
      </c>
      <c r="E33" s="87" t="n"/>
      <c r="F33" s="87" t="n"/>
      <c r="G33" s="86" t="inlineStr">
        <is>
          <t>Canalización PVC Schedule 80 o conduit inox; no conduit galvanizado expuesto</t>
        </is>
      </c>
      <c r="H33" s="87" t="n"/>
      <c r="I33" s="86" t="inlineStr">
        <is>
          <t>Lote</t>
        </is>
      </c>
      <c r="J33" s="86" t="inlineStr">
        <is>
          <t>Suministro nacional certificado RETIE</t>
        </is>
      </c>
      <c r="K33" s="87" t="n"/>
      <c r="L33" s="87" t="n"/>
      <c r="M33" s="86" t="inlineStr">
        <is>
          <t>Requisito RETIE / NTC 2050</t>
        </is>
      </c>
      <c r="N33" s="87" t="n"/>
      <c r="O33" s="87" t="n"/>
    </row>
    <row r="34" ht="50" customHeight="1"/>
    <row r="35" ht="100" customHeight="1">
      <c r="A35" s="82" t="inlineStr">
        <is>
          <t>3. Notas de suministro</t>
        </is>
      </c>
    </row>
    <row r="36" ht="550" customHeight="1">
      <c r="A36" s="83" t="inlineStr">
        <is>
          <t>3.1. Los ítems 1, 4, 8 y 9 requieren cotización formal con submittal: la selección final de RPM del ventilador mural Ø560 mm (ítem 1) y la potencia definitiva del motor (ítem 2) se confirman con el software del fabricante sobre el punto 3 840 m³/h @ 225 Pa aire estándar; las dimensiones de la estructura de unión (ítem 8) y de la cubierta intemperie (ítem 9) se definen con los planos del submittal del ventilador.</t>
        </is>
      </c>
    </row>
    <row r="37" ht="500" customHeight="1">
      <c r="A37" s="83" t="inlineStr">
        <is>
          <t>3.2. Ítems 3 y 4 son consumibles: se recomienda incluir en la compra inicial un juego de repuestos (un prefiltro y un filtro final) y congelar la especificación en términos MERV/ePM1 + 24×24 in para habilitar segunda fuente nacional (CARVEL S.A./Workclean; carvel.com.co (https://carvel.com.co/catalogo-workclean/filtros-de-aire-acondicionado-tipo-cartucho-fdcjm/), consulta 2026-07-23).</t>
        </is>
      </c>
    </row>
    <row r="38" ht="400" customHeight="1">
      <c r="A38" s="83" t="inlineStr">
        <is>
          <t>3.3. La tensión de alimentación del motor es 440 V, 3φ, 60 Hz (confirmada por el cliente el 2026-07-23); de ella dependen el guardamotor y el cableado de los ítems 11-12. Los plazos de entrega de los equipos e importaciones se presupuestan con un máximo de 3 meses (dato del cliente, 2026-07-23).</t>
        </is>
      </c>
    </row>
  </sheetData>
  <mergeCells count="86">
    <mergeCell ref="G21:H21"/>
    <mergeCell ref="J27:L27"/>
    <mergeCell ref="B22:C22"/>
    <mergeCell ref="G23:H23"/>
    <mergeCell ref="B31:C31"/>
    <mergeCell ref="M21:O21"/>
    <mergeCell ref="J25:L25"/>
    <mergeCell ref="B21:C21"/>
    <mergeCell ref="N3:O3"/>
    <mergeCell ref="D28:F28"/>
    <mergeCell ref="N5:O5"/>
    <mergeCell ref="D30:F30"/>
    <mergeCell ref="M24:O24"/>
    <mergeCell ref="C2:L3"/>
    <mergeCell ref="D29:F29"/>
    <mergeCell ref="D23:F23"/>
    <mergeCell ref="J29:L29"/>
    <mergeCell ref="A15:O15"/>
    <mergeCell ref="G20:H20"/>
    <mergeCell ref="B24:C24"/>
    <mergeCell ref="B33:C33"/>
    <mergeCell ref="B32:C32"/>
    <mergeCell ref="B26:C26"/>
    <mergeCell ref="G22:H22"/>
    <mergeCell ref="M20:O20"/>
    <mergeCell ref="B1:B5"/>
    <mergeCell ref="J24:L24"/>
    <mergeCell ref="D27:F27"/>
    <mergeCell ref="B25:C25"/>
    <mergeCell ref="M22:O22"/>
    <mergeCell ref="M31:O31"/>
    <mergeCell ref="J26:L26"/>
    <mergeCell ref="B27:C27"/>
    <mergeCell ref="A18:O18"/>
    <mergeCell ref="M28:O28"/>
    <mergeCell ref="N2:O2"/>
    <mergeCell ref="M26:O26"/>
    <mergeCell ref="D25:F25"/>
    <mergeCell ref="M29:O29"/>
    <mergeCell ref="M23:O23"/>
    <mergeCell ref="J33:L33"/>
    <mergeCell ref="B29:C29"/>
    <mergeCell ref="G24:H24"/>
    <mergeCell ref="G33:H33"/>
    <mergeCell ref="G26:H26"/>
    <mergeCell ref="J28:L28"/>
    <mergeCell ref="N6:O6"/>
    <mergeCell ref="D31:F31"/>
    <mergeCell ref="G25:H25"/>
    <mergeCell ref="D21:F21"/>
    <mergeCell ref="J30:L30"/>
    <mergeCell ref="N4:O4"/>
    <mergeCell ref="D32:F32"/>
    <mergeCell ref="M25:O25"/>
    <mergeCell ref="M30:O30"/>
    <mergeCell ref="J32:L32"/>
    <mergeCell ref="M33:O33"/>
    <mergeCell ref="A8:O8"/>
    <mergeCell ref="D33:F33"/>
    <mergeCell ref="A35:O35"/>
    <mergeCell ref="M32:O32"/>
    <mergeCell ref="B28:C28"/>
    <mergeCell ref="A1:A5"/>
    <mergeCell ref="D20:F20"/>
    <mergeCell ref="A9:O9"/>
    <mergeCell ref="C1:L1"/>
    <mergeCell ref="B30:C30"/>
    <mergeCell ref="G32:H32"/>
    <mergeCell ref="B20:C20"/>
    <mergeCell ref="D22:F22"/>
    <mergeCell ref="G27:H27"/>
    <mergeCell ref="J20:L20"/>
    <mergeCell ref="M27:O27"/>
    <mergeCell ref="J22:L22"/>
    <mergeCell ref="J31:L31"/>
    <mergeCell ref="B23:C23"/>
    <mergeCell ref="G28:H28"/>
    <mergeCell ref="N1:O1"/>
    <mergeCell ref="J21:L21"/>
    <mergeCell ref="D24:F24"/>
    <mergeCell ref="G30:H30"/>
    <mergeCell ref="J23:L23"/>
    <mergeCell ref="D26:F26"/>
    <mergeCell ref="G29:H29"/>
    <mergeCell ref="C4:L6"/>
    <mergeCell ref="G31:H3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2026-09-17T15:27:24Z</dcterms:modified>
  <cp:lastModifiedBy>JAG DESIGN</cp:lastModifiedBy>
  <cp:lastPrinted>2026-07-23T18:36:47Z</cp:lastPrinted>
</cp:coreProperties>
</file>