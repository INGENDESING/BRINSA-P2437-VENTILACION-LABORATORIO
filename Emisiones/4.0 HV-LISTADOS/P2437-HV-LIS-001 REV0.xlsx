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LISTA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21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2"/>
    </font>
    <font>
      <b val="1"/>
      <color rgb="001F4E78"/>
      <sz val="14"/>
    </font>
    <font>
      <b val="1"/>
      <sz val="11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top" wrapText="1"/>
    </xf>
    <xf numFmtId="0" fontId="17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horizontal="left" vertical="top" wrapText="1"/>
    </xf>
    <xf numFmtId="0" fontId="20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pivotButton="0" quotePrefix="0" xfId="0"/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P2437-HV-LIS-001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LISTADO DE EQUIPOS Y MATERIALES (BOQ): SISTEMA DE VENTILACIÓN Y PRESURIZACIÓN POSITIVA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8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8" ht="45" customHeight="1">
      <c r="A8" s="58" t="inlineStr">
        <is>
          <t>LISTADO DE EQUIPOS Y MATERIALES (BOQ): SISTEMA DE VENTILACIÓN Y PRESURIZACIÓN POSITIVA</t>
        </is>
      </c>
    </row>
    <row r="9">
      <c r="A9" s="59" t="inlineStr">
        <is>
          <t>Listado de equipos y materiales (BOQ): sistema de ventilación y presurización positiva</t>
        </is>
      </c>
    </row>
    <row r="10">
      <c r="A10" s="60" t="inlineStr">
        <is>
          <t>Proyecto: P2437-HV-INF-001 — BRINSA, laboratorio de análisis industrial, Cajicá (Cundinamarca)</t>
        </is>
      </c>
    </row>
    <row r="11">
      <c r="A11" s="60" t="inlineStr">
        <is>
          <t>Documento: listado_equipos.md — Revisión 0</t>
        </is>
      </c>
    </row>
    <row r="12">
      <c r="A12" s="60" t="inlineStr">
        <is>
          <t>Fecha: 2026-07-23</t>
        </is>
      </c>
    </row>
    <row r="13">
      <c r="A13" s="60" t="inlineStr">
        <is>
          <t>Base: informe_investigacion.md (misma revisión); punto de diseño 3 840 m³/h @ 190 Pa en el sitio (260 Pa equivalente de catálogo, ρ = 1.2 kg/m³).</t>
        </is>
      </c>
    </row>
    <row r="15">
      <c r="A15" s="61" t="inlineStr">
        <is>
          <t>1. Alcance del suministro</t>
        </is>
      </c>
    </row>
    <row r="16">
      <c r="A16" s="60" t="inlineStr">
        <is>
          <t>1.1. El listado cubre todo lo necesario para que el sistema sea funcional: máquina de impulsión, etapa filtrante, exfiltración, control de presurización, instrumentación y montaje, incluidas las protecciones eléctricas exigidas por RETIE/NTC 2050. Las cantidades corresponden a un (1) sistema completo para el laboratorio de 320 m³ (12 renovaciones/h).</t>
        </is>
      </c>
    </row>
    <row r="17"/>
    <row r="19">
      <c r="A19" s="61" t="inlineStr">
        <is>
          <t>2. Tabla de equipos y materiales</t>
        </is>
      </c>
    </row>
    <row r="20">
      <c r="A20" s="62" t="inlineStr">
        <is>
          <t>Tabla 1. BOQ del sistema de presurización positiva (consulta de fuentes 2026-07-23).</t>
        </is>
      </c>
    </row>
    <row r="21">
      <c r="A21" s="63" t="inlineStr">
        <is>
          <t>Ítem</t>
        </is>
      </c>
      <c r="B21" s="63" t="inlineStr">
        <is>
          <t>Función</t>
        </is>
      </c>
      <c r="C21" s="63" t="n"/>
      <c r="D21" s="63" t="inlineStr">
        <is>
          <t>Especificación clave</t>
        </is>
      </c>
      <c r="E21" s="63" t="n"/>
      <c r="F21" s="63" t="n"/>
      <c r="G21" s="63" t="inlineStr">
        <is>
          <t>Material / compatibilidad corrosiva</t>
        </is>
      </c>
      <c r="H21" s="63" t="n"/>
      <c r="I21" s="63" t="inlineStr">
        <is>
          <t>Cant.</t>
        </is>
      </c>
      <c r="J21" s="63" t="inlineStr">
        <is>
          <t>Candidatos comerciales (fabricante/modelo)</t>
        </is>
      </c>
      <c r="K21" s="63" t="n"/>
      <c r="L21" s="63" t="n"/>
      <c r="M21" s="63" t="inlineStr">
        <is>
          <t>Fuente</t>
        </is>
      </c>
      <c r="N21" s="63" t="n"/>
      <c r="O21" s="63" t="n"/>
    </row>
    <row r="22">
      <c r="A22" s="64" t="inlineStr">
        <is>
          <t>1</t>
        </is>
      </c>
      <c r="B22" s="64" t="inlineStr">
        <is>
          <t>Ventilador de impulsión</t>
        </is>
      </c>
      <c r="C22" s="65" t="n"/>
      <c r="D22" s="64" t="inlineStr">
        <is>
          <t>Centrífugo álabes curvados atrás; 3 840 m³/h @ 260 Pa (catálogo, ρ = 1.2 kg/m³) ≡ 190 Pa en sitio; AMCA 210; Spark A</t>
        </is>
      </c>
      <c r="E22" s="65" t="n"/>
      <c r="F22" s="65" t="n"/>
      <c r="G22" s="64" t="inlineStr">
        <is>
          <t>PRFV viniléster (ASTM C582/D4167); alternativa PP</t>
        </is>
      </c>
      <c r="H22" s="65" t="n"/>
      <c r="I22" s="64" t="inlineStr">
        <is>
          <t>1</t>
        </is>
      </c>
      <c r="J22" s="64" t="inlineStr">
        <is>
          <t>Greenheck BCSW-FRP (vía Prime Lines HVAC, Bogotá); NYB FRP Fume Exhauster; Sodeca CPV; Plastec 25/30; S&amp;P línea PP</t>
        </is>
      </c>
      <c r="K22" s="65" t="n"/>
      <c r="L22" s="65" t="n"/>
      <c r="M22" s="64" t="inlineStr">
        <is>
          <t>BCSW-FRP (https://content.greenheck.com/public/DAMProd/Original/10002/BCSWFRP_catalog.pdf); NYB (https://www.nyb.com/frp-fume-exhauster/); Sodeca CPV (https://www.sodeca.com/es/sistemas-de-ventilacion-extraccion/cpv-p1000000071)</t>
        </is>
      </c>
      <c r="N22" s="65" t="n"/>
      <c r="O22" s="65" t="n"/>
    </row>
    <row r="23">
      <c r="A23" s="64" t="inlineStr">
        <is>
          <t>2</t>
        </is>
      </c>
      <c r="B23" s="64" t="inlineStr">
        <is>
          <t>Motor del ventilador</t>
        </is>
      </c>
      <c r="C23" s="65" t="n"/>
      <c r="D23" s="64" t="inlineStr">
        <is>
          <t>1.0 HP, TEFC, 1 800 RPM (4 polos), 60 Hz, clase F, IP55 mín., severe duty epóxico; 440 V 3φ (confirmado por el cliente, 2026-07-23)</t>
        </is>
      </c>
      <c r="E23" s="65" t="n"/>
      <c r="F23" s="65" t="n"/>
      <c r="G23" s="64" t="inlineStr">
        <is>
          <t>Pintura epóxica + protección interna anticorrosiva; motor fuera de la corriente</t>
        </is>
      </c>
      <c r="H23" s="65" t="n"/>
      <c r="I23" s="64" t="inlineStr">
        <is>
          <t>1</t>
        </is>
      </c>
      <c r="J23" s="64" t="inlineStr">
        <is>
          <t>Leeson/Regal Severe Duty; Baldor-Reliance IEEE 841XL; WEG W22 IEEE 841</t>
        </is>
      </c>
      <c r="K23" s="65" t="n"/>
      <c r="L23" s="65" t="n"/>
      <c r="M23" s="64" t="inlineStr">
        <is>
          <t>Leeson (PDF) (https://www.regalrexnord.com/-/media/documents/brands/literature/industries/leeson_product_catalog_1050.pdf); Baldor 841XL (https://www.baldor.com/mvc/DownloadCenter/Files/9AKK108319)</t>
        </is>
      </c>
      <c r="N23" s="65" t="n"/>
      <c r="O23" s="65" t="n"/>
    </row>
    <row r="24">
      <c r="A24" s="64" t="inlineStr">
        <is>
          <t>3</t>
        </is>
      </c>
      <c r="B24" s="64" t="inlineStr">
        <is>
          <t>Prefiltro (etapa 1)</t>
        </is>
      </c>
      <c r="C24" s="65" t="n"/>
      <c r="D24" s="64" t="inlineStr">
        <is>
          <t>Plisado MERV 8 (ASHRAE 52.2); ΔP limpio 50-75 Pa, final 250 Pa (catálogo); 24×24 in</t>
        </is>
      </c>
      <c r="E24" s="65" t="n"/>
      <c r="F24" s="65" t="n"/>
      <c r="G24" s="64" t="inlineStr">
        <is>
          <t>Marco cartón hidrófugo; inspección de corrosión de la rejilla soporte en el primer año</t>
        </is>
      </c>
      <c r="H24" s="65" t="n"/>
      <c r="I24" s="64" t="inlineStr">
        <is>
          <t>1 (+ repuestos)</t>
        </is>
      </c>
      <c r="J24" s="64" t="inlineStr">
        <is>
          <t>Camfil 30/30 / Dual 9; Koch Multi-Pleat XL8</t>
        </is>
      </c>
      <c r="K24" s="65" t="n"/>
      <c r="L24" s="65" t="n"/>
      <c r="M24" s="64" t="inlineStr">
        <is>
          <t>Camfil 30/30 (PDF) (https://cdn.lsicloud.net/pandhwhsal/documents/406331002-SPS.pdf); Koch XL8 (PDF) (https://fsifiltration.com/wp-content/uploads/2020/08/Pleated-MERV8.pdf)</t>
        </is>
      </c>
      <c r="N24" s="65" t="n"/>
      <c r="O24" s="65" t="n"/>
    </row>
    <row r="25">
      <c r="A25" s="64" t="inlineStr">
        <is>
          <t>4</t>
        </is>
      </c>
      <c r="B25" s="64" t="inlineStr">
        <is>
          <t>Filtro final (etapa 2)</t>
        </is>
      </c>
      <c r="C25" s="65" t="n"/>
      <c r="D25" s="64" t="inlineStr">
        <is>
          <t>V-bank MERV 13-14 (52.2) ≡ ePM1 50-70 % (ISO 16890); ΔP limpio 80 Pa / final 210 Pa (catálogo) ≡ 59/154 Pa en sitio; 24×24 in</t>
        </is>
      </c>
      <c r="E25" s="65" t="n"/>
      <c r="F25" s="65" t="n"/>
      <c r="G25" s="64" t="inlineStr">
        <is>
          <t>Marco 100 % plástico (ABS/HIPS), sin metal; juntas PU</t>
        </is>
      </c>
      <c r="H25" s="65" t="n"/>
      <c r="I25" s="64" t="inlineStr">
        <is>
          <t>1 (+ repuestos)</t>
        </is>
      </c>
      <c r="J25" s="64" t="inlineStr">
        <is>
          <t>Camfil Durafil ES2 (MERV 14); AAF VariCel VXL; Freudenberg MaxiPleat MX 85</t>
        </is>
      </c>
      <c r="K25" s="65" t="n"/>
      <c r="L25" s="65" t="n"/>
      <c r="M25" s="64" t="inlineStr">
        <is>
          <t>Durafil ES2 (PDF) (https://cdn.lsicloud.net/pandhwhsal/documents/855080-003.pdf); AAF VXL (PDF) (https://aafterms.aafintl.com/-/media/files/aaf/commercial-and-industrial/us-products/box-filters/varicel-vxl/varicel-vxl_prod_mark_sht_afp-1-162.pdf)</t>
        </is>
      </c>
      <c r="N25" s="65" t="n"/>
      <c r="O25" s="65" t="n"/>
    </row>
    <row r="26">
      <c r="A26" s="64" t="inlineStr">
        <is>
          <t>5</t>
        </is>
      </c>
      <c r="B26" s="64" t="inlineStr">
        <is>
          <t>Marcos portafiltros</t>
        </is>
      </c>
      <c r="C26" s="65" t="n"/>
      <c r="D26" s="64" t="inlineStr">
        <is>
          <t>Holding frames para prefiltro + filtro final con junta continua</t>
        </is>
      </c>
      <c r="E26" s="65" t="n"/>
      <c r="F26" s="65" t="n"/>
      <c r="G26" s="64" t="inlineStr">
        <is>
          <t>Inox 304/316 (no galvanizado); junta PU/EPDM</t>
        </is>
      </c>
      <c r="H26" s="65" t="n"/>
      <c r="I26" s="64" t="inlineStr">
        <is>
          <t>1 juego</t>
        </is>
      </c>
      <c r="J26" s="64" t="inlineStr">
        <is>
          <t>Camfil MagnaFrame II (opción inox 304); Camfil Universal Holding Frame (inox)</t>
        </is>
      </c>
      <c r="K26" s="65" t="n"/>
      <c r="L26" s="65" t="n"/>
      <c r="M26" s="64" t="inlineStr">
        <is>
          <t>MagnaFrame II (https://www.camfil.com/en-ca/products/housings-frames--louvers/filter-holding-frames/filter-holding-frames/magnaframe-ii-gasket-seal-_-47771)</t>
        </is>
      </c>
      <c r="N26" s="65" t="n"/>
      <c r="O26" s="65" t="n"/>
    </row>
    <row r="27">
      <c r="A27" s="64" t="inlineStr">
        <is>
          <t>6</t>
        </is>
      </c>
      <c r="B27" s="64" t="inlineStr">
        <is>
          <t>Rejillas de exfiltración</t>
        </is>
      </c>
      <c r="C27" s="65" t="n"/>
      <c r="D27" s="64" t="inlineStr">
        <is>
          <t>Eggcrate ½ in, 353×336 mm facial; velocidad facial 3 m/s; ΔP 11 Pa en sitio; área libre ≥ 90 %</t>
        </is>
      </c>
      <c r="E27" s="65" t="n"/>
      <c r="F27" s="65" t="n"/>
      <c r="G27" s="64" t="inlineStr">
        <is>
          <t>Inox 316L (alternativa: aluminio anodizado 6063-T5); ensayo ASHRAE 70</t>
        </is>
      </c>
      <c r="H27" s="65" t="n"/>
      <c r="I27" s="64" t="inlineStr">
        <is>
          <t>3</t>
        </is>
      </c>
      <c r="J27" s="64" t="inlineStr">
        <is>
          <t>Titus 50F (versión inox); fabricación local ProAire S.A.S (corte láser inox); Laminaire</t>
        </is>
      </c>
      <c r="K27" s="65" t="n"/>
      <c r="L27" s="65" t="n"/>
      <c r="M27" s="64" t="inlineStr">
        <is>
          <t>Titus 50F (PDF) (https://www.titus-hvac.com/file/1228/50F_50Rrprod_specialized_2017.pdf); ProAire (https://www.proairecolombia.com/productos/rejillas-y-difusores.html)</t>
        </is>
      </c>
      <c r="N27" s="65" t="n"/>
      <c r="O27" s="65" t="n"/>
    </row>
    <row r="28">
      <c r="A28" s="64" t="inlineStr">
        <is>
          <t>7</t>
        </is>
      </c>
      <c r="B28" s="64" t="inlineStr">
        <is>
          <t>Malla anti-insectos</t>
        </is>
      </c>
      <c r="C28" s="65" t="n"/>
      <c r="D28" s="64" t="inlineStr">
        <is>
          <t>Tejido 18×18, abertura ≈1 mm, área abierta ≥ 48 %; marco desmontable para limpieza</t>
        </is>
      </c>
      <c r="E28" s="65" t="n"/>
      <c r="F28" s="65" t="n"/>
      <c r="G28" s="64" t="inlineStr">
        <is>
          <t>Inox 316</t>
        </is>
      </c>
      <c r="H28" s="65" t="n"/>
      <c r="I28" s="64" t="inlineStr">
        <is>
          <t>3 (una por rejilla)</t>
        </is>
      </c>
      <c r="J28" s="64" t="inlineStr">
        <is>
          <t>Proveedores de malla inox tejida (especificación genérica 18×18, alambre 0.45 mm)</t>
        </is>
      </c>
      <c r="K28" s="65" t="n"/>
      <c r="L28" s="65" t="n"/>
      <c r="M28" s="64" t="inlineStr">
        <is>
          <t>Tabla área abierta (https://www.industrialmetalmesh.com/sale-54819921-micron-304-316l-stainless-steel-wire-mesh-screen-filter-mesh.html)</t>
        </is>
      </c>
      <c r="N28" s="65" t="n"/>
      <c r="O28" s="65" t="n"/>
    </row>
    <row r="29">
      <c r="A29" s="64" t="inlineStr">
        <is>
          <t>8</t>
        </is>
      </c>
      <c r="B29" s="64" t="inlineStr">
        <is>
          <t>Damper de alivio barométrico</t>
        </is>
      </c>
      <c r="C29" s="65" t="n"/>
      <c r="D29" s="64" t="inlineStr">
        <is>
          <t>Contrapeso ajustable 12-75 Pa (0.05-0.30 in c.a.); set-point +25 Pa; V facial ≤ 2.5 m/s al caudal de alivio; AMCA 500-D</t>
        </is>
      </c>
      <c r="E29" s="65" t="n"/>
      <c r="F29" s="65" t="n"/>
      <c r="G29" s="64" t="inlineStr">
        <is>
          <t>Aluminio extruido 6063-T5 o línea severe-environment; no galvanizado</t>
        </is>
      </c>
      <c r="H29" s="65" t="n"/>
      <c r="I29" s="64" t="inlineStr">
        <is>
          <t>1</t>
        </is>
      </c>
      <c r="J29" s="64" t="inlineStr">
        <is>
          <t>Greenheck SEBR-10; Ruskin CBD6/BD6; Nailor 1390CB-EAF</t>
        </is>
      </c>
      <c r="K29" s="65" t="n"/>
      <c r="L29" s="65" t="n"/>
      <c r="M29" s="64" t="inlineStr">
        <is>
          <t>SEBR-10 (PDF) (https://content.greenheck.com/public/DAMProd/Original/10002/SEBR10Series_submittal.pdf); Ruskin BD6 (https://www.ruskin.com/model/bd6); Nailor 1390CB (PDF) (https://nailor.com/sites/default/files/documents/1390CB_B_0_0.pdf)</t>
        </is>
      </c>
      <c r="N29" s="65" t="n"/>
      <c r="O29" s="65" t="n"/>
    </row>
    <row r="30">
      <c r="A30" s="64" t="inlineStr">
        <is>
          <t>9</t>
        </is>
      </c>
      <c r="B30" s="64" t="inlineStr">
        <is>
          <t>Transmisor de presión diferencial</t>
        </is>
      </c>
      <c r="C30" s="65" t="n"/>
      <c r="D30" s="64" t="inlineStr">
        <is>
          <t>Rango 0-62.5 Pa (0-0.25 in c.a.); salida 4-20 mA, 2 hilos; constante de tiempo ajustable</t>
        </is>
      </c>
      <c r="E30" s="65" t="n"/>
      <c r="F30" s="65" t="n"/>
      <c r="G30" s="64" t="inlineStr">
        <is>
          <t>Gabinete NEMA 4X (IP66); montaje interior con toma exterior protegida</t>
        </is>
      </c>
      <c r="H30" s="65" t="n"/>
      <c r="I30" s="64" t="inlineStr">
        <is>
          <t>1</t>
        </is>
      </c>
      <c r="J30" s="64" t="inlineStr">
        <is>
          <t>Dwyer MS-121(-LCD) Magnesense; Setra 264; Siemens QBM2130-1U</t>
        </is>
      </c>
      <c r="K30" s="65" t="n"/>
      <c r="L30" s="65" t="n"/>
      <c r="M30" s="64" t="inlineStr">
        <is>
          <t>Dwyer MS (PDF) (https://www.transcat.com/media/pdf/MS_cat.pdf); Setra 264 (PDF) (https://www.setra.com/hubfs/Product_Data_Sheets/Setra_Model_264_Data_Sheet.pdf)</t>
        </is>
      </c>
      <c r="N30" s="65" t="n"/>
      <c r="O30" s="65" t="n"/>
    </row>
    <row r="31">
      <c r="A31" s="64" t="inlineStr">
        <is>
          <t>10</t>
        </is>
      </c>
      <c r="B31" s="64" t="inlineStr">
        <is>
          <t>Manómetro diferencial de lectura local</t>
        </is>
      </c>
      <c r="C31" s="65" t="n"/>
      <c r="D31" s="64" t="inlineStr">
        <is>
          <t>Magnehelic 2000-00, rango 0-62 Pa (0-0.25 in c.a.); ±2 % FS</t>
        </is>
      </c>
      <c r="E31" s="65" t="n"/>
      <c r="F31" s="65" t="n"/>
      <c r="G31" s="64" t="inlineStr">
        <is>
          <t>Caja aluminio (niebla salina 168 h); opción bisel inox; montaje interior</t>
        </is>
      </c>
      <c r="H31" s="65" t="n"/>
      <c r="I31" s="64" t="inlineStr">
        <is>
          <t>1</t>
        </is>
      </c>
      <c r="J31" s="64" t="inlineStr">
        <is>
          <t>Dwyer Magnehelic 2000-00 (Vía Industrial, RS Importaciones, SICO Global, Bogotá)</t>
        </is>
      </c>
      <c r="K31" s="65" t="n"/>
      <c r="L31" s="65" t="n"/>
      <c r="M31" s="64" t="inlineStr">
        <is>
          <t>Tabla serie 2000 (https://skilltech.com.br/produto/manometro-para-pressao-diferencial-magnehelic-serie-2000/); Vía Industrial (https://www.viaindustrial.com/dwyer/marca/)</t>
        </is>
      </c>
      <c r="N31" s="65" t="n"/>
      <c r="O31" s="65" t="n"/>
    </row>
    <row r="32">
      <c r="A32" s="64" t="inlineStr">
        <is>
          <t>11</t>
        </is>
      </c>
      <c r="B32" s="64" t="inlineStr">
        <is>
          <t>Controlador / lógica de alarmas</t>
        </is>
      </c>
      <c r="C32" s="65" t="n"/>
      <c r="D32" s="64" t="inlineStr">
        <is>
          <t>Alarma baja +12.5 Pa y alta +40 Pa desde la señal 4-20 mA; retardo 30-60 s</t>
        </is>
      </c>
      <c r="E32" s="65" t="n"/>
      <c r="F32" s="65" t="n"/>
      <c r="G32" s="64" t="inlineStr">
        <is>
          <t>Integración al PLC/BMS del cliente o relés autónomos</t>
        </is>
      </c>
      <c r="H32" s="65" t="n"/>
      <c r="I32" s="64" t="inlineStr">
        <is>
          <t>1</t>
        </is>
      </c>
      <c r="J32" s="64" t="inlineStr">
        <is>
          <t>PLC del cliente (por confirmar); alternativa autónoma Dwyer Photohelic 3000MR-00AV</t>
        </is>
      </c>
      <c r="K32" s="65" t="n"/>
      <c r="L32" s="65" t="n"/>
      <c r="M32" s="64" t="inlineStr">
        <is>
          <t>Northeast Controls — Photohelic (https://nciweb.net/pressure1.htm)</t>
        </is>
      </c>
      <c r="N32" s="65" t="n"/>
      <c r="O32" s="65" t="n"/>
    </row>
    <row r="33">
      <c r="A33" s="64" t="inlineStr">
        <is>
          <t>12</t>
        </is>
      </c>
      <c r="B33" s="64" t="inlineStr">
        <is>
          <t>Toma de referencia exterior</t>
        </is>
      </c>
      <c r="C33" s="65" t="n"/>
      <c r="D33" s="64" t="inlineStr">
        <is>
          <t>Caja estática de pared orientada a sotavento; tubo de impulso con purga/filtro de membrana</t>
        </is>
      </c>
      <c r="E33" s="65" t="n"/>
      <c r="F33" s="65" t="n"/>
      <c r="G33" s="64" t="inlineStr">
        <is>
          <t>Inox 316; conexiones 1/8 in NPT con sellante compatible</t>
        </is>
      </c>
      <c r="H33" s="65" t="n"/>
      <c r="I33" s="64" t="inlineStr">
        <is>
          <t>1</t>
        </is>
      </c>
      <c r="J33" s="64" t="inlineStr">
        <is>
          <t>Dwyer A-417 o fabricación local inox 316 (dato típico)</t>
        </is>
      </c>
      <c r="K33" s="65" t="n"/>
      <c r="L33" s="65" t="n"/>
      <c r="M33" s="64" t="inlineStr">
        <is>
          <t>Dwyer MS (PDF) (https://www.transcat.com/media/pdf/MS_cat.pdf)</t>
        </is>
      </c>
      <c r="N33" s="65" t="n"/>
      <c r="O33" s="65" t="n"/>
    </row>
    <row r="34">
      <c r="A34" s="64" t="inlineStr">
        <is>
          <t>13</t>
        </is>
      </c>
      <c r="B34" s="64" t="inlineStr">
        <is>
          <t>Soportes y ferretería</t>
        </is>
      </c>
      <c r="C34" s="65" t="n"/>
      <c r="D34" s="64" t="inlineStr">
        <is>
          <t>Soportes de ventilador, rejillas, damper e instrumentos; pernos, tuercas, arandelas</t>
        </is>
      </c>
      <c r="E34" s="65" t="n"/>
      <c r="F34" s="65" t="n"/>
      <c r="G34" s="64" t="inlineStr">
        <is>
          <t>Inox 316 (clase A4); aislamiento dieléctrico frente a galvanizado</t>
        </is>
      </c>
      <c r="H34" s="65" t="n"/>
      <c r="I34" s="64" t="inlineStr">
        <is>
          <t>Lote</t>
        </is>
      </c>
      <c r="J34" s="64" t="inlineStr">
        <is>
          <t>Suministro nacional genérico A4</t>
        </is>
      </c>
      <c r="K34" s="65" t="n"/>
      <c r="L34" s="65" t="n"/>
      <c r="M34" s="64" t="inlineStr">
        <is>
          <t>Marsh Fasteners (criterio 304 vs 316) (https://marshfasteners.com/304-vs-316-stainless-steel-bolts/)</t>
        </is>
      </c>
      <c r="N34" s="65" t="n"/>
      <c r="O34" s="65" t="n"/>
    </row>
    <row r="35">
      <c r="A35" s="64" t="inlineStr">
        <is>
          <t>14</t>
        </is>
      </c>
      <c r="B35" s="64" t="inlineStr">
        <is>
          <t>Conexión flexible ventilador-pasamuros</t>
        </is>
      </c>
      <c r="C35" s="65" t="n"/>
      <c r="D35" s="64" t="inlineStr">
        <is>
          <t>Ancho ≥ 100 mm; bandas de amarre inox 316 cal. 24</t>
        </is>
      </c>
      <c r="E35" s="65" t="n"/>
      <c r="F35" s="65" t="n"/>
      <c r="G35" s="64" t="inlineStr">
        <is>
          <t>Hipalón (CSM); alternativa clorobutilo; no PVC estándar</t>
        </is>
      </c>
      <c r="H35" s="65" t="n"/>
      <c r="I35" s="64" t="inlineStr">
        <is>
          <t>1</t>
        </is>
      </c>
      <c r="J35" s="64" t="inlineStr">
        <is>
          <t>Hardcast Hypalon; Proco serie 500</t>
        </is>
      </c>
      <c r="K35" s="65" t="n"/>
      <c r="L35" s="65" t="n"/>
      <c r="M35" s="64" t="inlineStr">
        <is>
          <t>Hardcast (PDF) (https://6c2bd45d09da3c66a408-2b16a407535c695c8a76f8b06a56f342.ssl.cf2.rackcdn.com/GWB%20%20eCatalog%2006-25-16.pdf)</t>
        </is>
      </c>
      <c r="N35" s="65" t="n"/>
      <c r="O35" s="65" t="n"/>
    </row>
    <row r="36">
      <c r="A36" s="64" t="inlineStr">
        <is>
          <t>15</t>
        </is>
      </c>
      <c r="B36" s="64" t="inlineStr">
        <is>
          <t>Selladores</t>
        </is>
      </c>
      <c r="C36" s="65" t="n"/>
      <c r="D36" s="64" t="inlineStr">
        <is>
          <t>Sellado de pasamuros, marcos y empalmes</t>
        </is>
      </c>
      <c r="E36" s="65" t="n"/>
      <c r="F36" s="65" t="n"/>
      <c r="G36" s="64" t="inlineStr">
        <is>
          <t>Silicona RTV neutra (no acetoxi); PU solo en zonas sin cloro gaseoso directo</t>
        </is>
      </c>
      <c r="H36" s="65" t="n"/>
      <c r="I36" s="64" t="inlineStr">
        <is>
          <t>Lote</t>
        </is>
      </c>
      <c r="J36" s="64" t="inlineStr">
        <is>
          <t>Sikaflex / silicona neutra grado industrial (suministro nacional)</t>
        </is>
      </c>
      <c r="K36" s="65" t="n"/>
      <c r="L36" s="65" t="n"/>
      <c r="M36" s="64" t="inlineStr">
        <is>
          <t>RTV silicone (PDF) (https://irp.cdn-website.com/63168859/files/uploaded/Chemical%20Resistance%20of%20RTV%20Silicone%20Sealants%20Chart.pdf); Tabla PU (PDF) (https://www.apachepipe.com/assets/chemical-resistance-table.pdf)</t>
        </is>
      </c>
      <c r="N36" s="65" t="n"/>
      <c r="O36" s="65" t="n"/>
    </row>
    <row r="37">
      <c r="A37" s="64" t="inlineStr">
        <is>
          <t>16</t>
        </is>
      </c>
      <c r="B37" s="64" t="inlineStr">
        <is>
          <t>Protecciones eléctricas y tablero</t>
        </is>
      </c>
      <c r="C37" s="65" t="n"/>
      <c r="D37" s="64" t="inlineStr">
        <is>
          <t>Guardamotor, contactor, seccionador, puesta a tierra; tablero IP55/IP66 según ubicación</t>
        </is>
      </c>
      <c r="E37" s="65" t="n"/>
      <c r="F37" s="65" t="n"/>
      <c r="G37" s="64" t="inlineStr">
        <is>
          <t>Gabinete con tratamiento anticorrosivo; prensaestopas niquelados o inox</t>
        </is>
      </c>
      <c r="H37" s="65" t="n"/>
      <c r="I37" s="64" t="inlineStr">
        <is>
          <t>1</t>
        </is>
      </c>
      <c r="J37" s="64" t="inlineStr">
        <is>
          <t>Fabricación local certificada RETIE; componentes Siemens/ABB/WEG</t>
        </is>
      </c>
      <c r="K37" s="65" t="n"/>
      <c r="L37" s="65" t="n"/>
      <c r="M37" s="64" t="inlineStr">
        <is>
          <t>Requisito RETIE / NTC 2050 (normativo, no de catálogo)</t>
        </is>
      </c>
      <c r="N37" s="65" t="n"/>
      <c r="O37" s="65" t="n"/>
    </row>
    <row r="38">
      <c r="A38" s="64" t="inlineStr">
        <is>
          <t>17</t>
        </is>
      </c>
      <c r="B38" s="64" t="inlineStr">
        <is>
          <t>Cableado y canalización</t>
        </is>
      </c>
      <c r="C38" s="65" t="n"/>
      <c r="D38" s="64" t="inlineStr">
        <is>
          <t>Circuito motor 1.0 HP + circuito instrumentación 4-20 mA apantallado</t>
        </is>
      </c>
      <c r="E38" s="65" t="n"/>
      <c r="F38" s="65" t="n"/>
      <c r="G38" s="64" t="inlineStr">
        <is>
          <t>Canalización PVC Schedule 80 o conduit inox; no conduit galvanizado expuesto</t>
        </is>
      </c>
      <c r="H38" s="65" t="n"/>
      <c r="I38" s="64" t="inlineStr">
        <is>
          <t>Lote</t>
        </is>
      </c>
      <c r="J38" s="64" t="inlineStr">
        <is>
          <t>Suministro nacional certificado RETIE</t>
        </is>
      </c>
      <c r="K38" s="65" t="n"/>
      <c r="L38" s="65" t="n"/>
      <c r="M38" s="64" t="inlineStr">
        <is>
          <t>Requisito RETIE / NTC 2050</t>
        </is>
      </c>
      <c r="N38" s="65" t="n"/>
      <c r="O38" s="65" t="n"/>
    </row>
    <row r="41">
      <c r="A41" s="61" t="inlineStr">
        <is>
          <t>3. Notas de suministro</t>
        </is>
      </c>
    </row>
    <row r="42">
      <c r="A42" s="60" t="inlineStr">
        <is>
          <t>3.1. Ítems 1, 4, 8, 9 y 10 requieren cotización formal con submittal: la selección final de tamaño/RPM del ventilador (ítem 1) se confirma con el software del fabricante sobre el punto 3 840 m³/h @ 260 Pa aire estándar.</t>
        </is>
      </c>
    </row>
    <row r="43"/>
    <row r="44">
      <c r="A44" s="60" t="inlineStr">
        <is>
          <t>3.2. Ítems 3 y 4 son consumibles: se recomienda incluir en la compra inicial un juego de repuestos (un prefiltro y un filtro final) y congelar la especificación en términos MERV/ePM1 + 24×24 in para habilitar segunda fuente nacional (CARVEL S.A./Workclean; carvel.com.co (https://carvel.com.co/catalogo-workclean/filtros-de-aire-acondicionado-tipo-cartucho-fdcjm/), consulta 2026-07-23).</t>
        </is>
      </c>
    </row>
    <row r="45"/>
    <row r="46"/>
    <row r="47">
      <c r="A47" s="60" t="inlineStr">
        <is>
          <t>3.3. La tensión de alimentación del motor es 440 V, 3φ, 60 Hz (confirmada por el cliente el 2026-07-23); de ella dependen el guardamotor y el cableado de los ítems 16-17. Los plazos de entrega de los equipos e importaciones se presupuestan con un máximo de 3 meses (dato del cliente, 2026-07-23).</t>
        </is>
      </c>
    </row>
    <row r="48"/>
  </sheetData>
  <mergeCells count="110">
    <mergeCell ref="G21:H21"/>
    <mergeCell ref="J27:L27"/>
    <mergeCell ref="B22:C22"/>
    <mergeCell ref="J35:L35"/>
    <mergeCell ref="G23:H23"/>
    <mergeCell ref="B31:C31"/>
    <mergeCell ref="M21:O21"/>
    <mergeCell ref="J25:L25"/>
    <mergeCell ref="B21:C21"/>
    <mergeCell ref="N3:O3"/>
    <mergeCell ref="D28:F28"/>
    <mergeCell ref="D37:F37"/>
    <mergeCell ref="N5:O5"/>
    <mergeCell ref="D30:F30"/>
    <mergeCell ref="M24:O24"/>
    <mergeCell ref="C2:L3"/>
    <mergeCell ref="G34:H34"/>
    <mergeCell ref="B38:C38"/>
    <mergeCell ref="D29:F29"/>
    <mergeCell ref="D23:F23"/>
    <mergeCell ref="J29:L29"/>
    <mergeCell ref="A15:O15"/>
    <mergeCell ref="B24:C24"/>
    <mergeCell ref="J38:L38"/>
    <mergeCell ref="B33:C33"/>
    <mergeCell ref="B32:C32"/>
    <mergeCell ref="B26:C26"/>
    <mergeCell ref="G22:H22"/>
    <mergeCell ref="B35:C35"/>
    <mergeCell ref="B1:B5"/>
    <mergeCell ref="J24:L24"/>
    <mergeCell ref="D27:F27"/>
    <mergeCell ref="B25:C25"/>
    <mergeCell ref="M22:O22"/>
    <mergeCell ref="M31:O31"/>
    <mergeCell ref="J26:L26"/>
    <mergeCell ref="B27:C27"/>
    <mergeCell ref="M28:O28"/>
    <mergeCell ref="M37:O37"/>
    <mergeCell ref="G38:H38"/>
    <mergeCell ref="N2:O2"/>
    <mergeCell ref="M26:O26"/>
    <mergeCell ref="D25:F25"/>
    <mergeCell ref="M29:O29"/>
    <mergeCell ref="M23:O23"/>
    <mergeCell ref="J33:L33"/>
    <mergeCell ref="B29:C29"/>
    <mergeCell ref="M38:O38"/>
    <mergeCell ref="G24:H24"/>
    <mergeCell ref="G33:H33"/>
    <mergeCell ref="B37:C37"/>
    <mergeCell ref="A44:O46"/>
    <mergeCell ref="G26:H26"/>
    <mergeCell ref="G35:H35"/>
    <mergeCell ref="J28:L28"/>
    <mergeCell ref="N6:O6"/>
    <mergeCell ref="D31:F31"/>
    <mergeCell ref="G25:H25"/>
    <mergeCell ref="J37:L37"/>
    <mergeCell ref="M35:O35"/>
    <mergeCell ref="D21:F21"/>
    <mergeCell ref="J30:L30"/>
    <mergeCell ref="N4:O4"/>
    <mergeCell ref="D32:F32"/>
    <mergeCell ref="A41:O41"/>
    <mergeCell ref="M25:O25"/>
    <mergeCell ref="M30:O30"/>
    <mergeCell ref="J32:L32"/>
    <mergeCell ref="M33:O33"/>
    <mergeCell ref="G37:H37"/>
    <mergeCell ref="A8:O8"/>
    <mergeCell ref="D33:F33"/>
    <mergeCell ref="M32:O32"/>
    <mergeCell ref="B34:C34"/>
    <mergeCell ref="A19:O19"/>
    <mergeCell ref="B28:C28"/>
    <mergeCell ref="D35:F35"/>
    <mergeCell ref="A1:A5"/>
    <mergeCell ref="A9:O9"/>
    <mergeCell ref="C1:L1"/>
    <mergeCell ref="D34:F34"/>
    <mergeCell ref="B30:C30"/>
    <mergeCell ref="G32:H32"/>
    <mergeCell ref="D22:F22"/>
    <mergeCell ref="D36:F36"/>
    <mergeCell ref="J34:L34"/>
    <mergeCell ref="A42:O43"/>
    <mergeCell ref="A47:O48"/>
    <mergeCell ref="J36:L36"/>
    <mergeCell ref="G27:H27"/>
    <mergeCell ref="G36:H36"/>
    <mergeCell ref="M27:O27"/>
    <mergeCell ref="M36:O36"/>
    <mergeCell ref="J22:L22"/>
    <mergeCell ref="J31:L31"/>
    <mergeCell ref="B23:C23"/>
    <mergeCell ref="G28:H28"/>
    <mergeCell ref="N1:O1"/>
    <mergeCell ref="J21:L21"/>
    <mergeCell ref="D24:F24"/>
    <mergeCell ref="D38:F38"/>
    <mergeCell ref="G30:H30"/>
    <mergeCell ref="A16:O17"/>
    <mergeCell ref="J23:L23"/>
    <mergeCell ref="D26:F26"/>
    <mergeCell ref="M34:O34"/>
    <mergeCell ref="G29:H29"/>
    <mergeCell ref="C4:L6"/>
    <mergeCell ref="B36:C36"/>
    <mergeCell ref="G31:H3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2026-07-24T22:14:46Z</dcterms:modified>
  <cp:lastModifiedBy>JAG DESIGN</cp:lastModifiedBy>
  <cp:lastPrinted>2026-07-23T18:36:47Z</cp:lastPrinted>
</cp:coreProperties>
</file>