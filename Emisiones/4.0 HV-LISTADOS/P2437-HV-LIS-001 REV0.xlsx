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LISTA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21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b val="1"/>
      <color rgb="001F4E78"/>
      <sz val="12"/>
    </font>
    <font>
      <b val="1"/>
      <color rgb="001F4E78"/>
      <sz val="14"/>
    </font>
    <font>
      <b val="1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  <bgColor rgb="001F4E7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43" fontId="6" fillId="0" borderId="0" applyAlignment="1" pivotButton="0" quotePrefix="0" xfId="3">
      <alignment vertical="center"/>
    </xf>
    <xf numFmtId="0" fontId="0" fillId="0" borderId="11" pivotButton="0" quotePrefix="0" xfId="0"/>
    <xf numFmtId="0" fontId="0" fillId="0" borderId="12" pivotButton="0" quotePrefix="0" xfId="0"/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left" vertical="top" wrapText="1"/>
    </xf>
    <xf numFmtId="0" fontId="20" fillId="5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29" t="n"/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30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5" t="n"/>
      <c r="Z1" s="27" t="inlineStr">
        <is>
          <t>DISEÑO DE INGENIERÍA</t>
        </is>
      </c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4" t="n"/>
      <c r="AM1" s="44" t="n"/>
      <c r="AN1" s="44" t="n"/>
      <c r="AO1" s="44" t="n"/>
      <c r="AP1" s="44" t="n"/>
      <c r="AQ1" s="44" t="n"/>
      <c r="AR1" s="44" t="n"/>
      <c r="AS1" s="44" t="n"/>
      <c r="AT1" s="44" t="n"/>
      <c r="AU1" s="44" t="n"/>
      <c r="AV1" s="44" t="n"/>
      <c r="AW1" s="44" t="n"/>
      <c r="AX1" s="44" t="n"/>
      <c r="AY1" s="44" t="n"/>
      <c r="AZ1" s="44" t="n"/>
      <c r="BA1" s="44" t="n"/>
      <c r="BB1" s="45" t="n"/>
      <c r="BC1" s="26" t="inlineStr">
        <is>
          <t>CODIGO:</t>
        </is>
      </c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7" t="n"/>
      <c r="BO1" s="25" t="inlineStr">
        <is>
          <t>P2437-HV-LIS-001</t>
        </is>
      </c>
      <c r="BP1" s="48" t="n"/>
      <c r="BQ1" s="48" t="n"/>
      <c r="BR1" s="48" t="n"/>
      <c r="BS1" s="48" t="n"/>
      <c r="BT1" s="48" t="n"/>
      <c r="BU1" s="48" t="n"/>
      <c r="BV1" s="48" t="n"/>
      <c r="BW1" s="48" t="n"/>
      <c r="BX1" s="48" t="n"/>
      <c r="BY1" s="48" t="n"/>
      <c r="BZ1" s="49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0" t="n"/>
      <c r="M2" s="51" t="n"/>
      <c r="N2" s="50" t="n"/>
      <c r="Y2" s="51" t="n"/>
      <c r="Z2" s="52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4" t="n"/>
      <c r="BC2" s="26" t="inlineStr">
        <is>
          <t>REVISION:</t>
        </is>
      </c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25" t="inlineStr">
        <is>
          <t>CERO (0)</t>
        </is>
      </c>
      <c r="BP2" s="48" t="n"/>
      <c r="BQ2" s="48" t="n"/>
      <c r="BR2" s="48" t="n"/>
      <c r="BS2" s="48" t="n"/>
      <c r="BT2" s="48" t="n"/>
      <c r="BU2" s="48" t="n"/>
      <c r="BV2" s="48" t="n"/>
      <c r="BW2" s="48" t="n"/>
      <c r="BX2" s="48" t="n"/>
      <c r="BY2" s="48" t="n"/>
      <c r="BZ2" s="49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0" t="n"/>
      <c r="M3" s="51" t="n"/>
      <c r="N3" s="50" t="n"/>
      <c r="Y3" s="51" t="n"/>
      <c r="Z3" s="27" t="inlineStr">
        <is>
          <t>SISTEMA HVAC LABORATORIO BRINSA</t>
        </is>
      </c>
      <c r="AA3" s="44" t="n"/>
      <c r="AB3" s="44" t="n"/>
      <c r="AC3" s="44" t="n"/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n"/>
      <c r="AS3" s="44" t="n"/>
      <c r="AT3" s="44" t="n"/>
      <c r="AU3" s="44" t="n"/>
      <c r="AV3" s="44" t="n"/>
      <c r="AW3" s="44" t="n"/>
      <c r="AX3" s="44" t="n"/>
      <c r="AY3" s="44" t="n"/>
      <c r="AZ3" s="44" t="n"/>
      <c r="BA3" s="44" t="n"/>
      <c r="BB3" s="45" t="n"/>
      <c r="BC3" s="26" t="inlineStr">
        <is>
          <t>FECHA:</t>
        </is>
      </c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25" t="inlineStr">
        <is>
          <t>JULIO 23 DEL 2026</t>
        </is>
      </c>
      <c r="BP3" s="48" t="n"/>
      <c r="BQ3" s="48" t="n"/>
      <c r="BR3" s="48" t="n"/>
      <c r="BS3" s="48" t="n"/>
      <c r="BT3" s="48" t="n"/>
      <c r="BU3" s="48" t="n"/>
      <c r="BV3" s="48" t="n"/>
      <c r="BW3" s="48" t="n"/>
      <c r="BX3" s="48" t="n"/>
      <c r="BY3" s="48" t="n"/>
      <c r="BZ3" s="49" t="n"/>
    </row>
    <row r="4" ht="25" customFormat="1" customHeight="1" s="2">
      <c r="A4" s="50" t="n"/>
      <c r="M4" s="51" t="n"/>
      <c r="N4" s="50" t="n"/>
      <c r="Y4" s="51" t="n"/>
      <c r="Z4" s="52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4" t="n"/>
      <c r="BC4" s="26" t="inlineStr">
        <is>
          <t>ELABORO:</t>
        </is>
      </c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7" t="n"/>
      <c r="BO4" s="25" t="inlineStr">
        <is>
          <t>J.ARBOLEDA</t>
        </is>
      </c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  <c r="BZ4" s="49" t="n"/>
    </row>
    <row r="5" ht="25" customFormat="1" customHeight="1" s="2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4" t="n"/>
      <c r="N5" s="52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4" t="n"/>
      <c r="Z5" s="31" t="inlineStr">
        <is>
          <t>LISTADO DE EQUIPOS Y MATERIALES (BOQ): SISTEMA DE VENTILACIÓN Y PRESURIZACIÓN POSITIVA</t>
        </is>
      </c>
      <c r="AA5" s="44" t="n"/>
      <c r="AB5" s="44" t="n"/>
      <c r="AC5" s="44" t="n"/>
      <c r="AD5" s="44" t="n"/>
      <c r="AE5" s="44" t="n"/>
      <c r="AF5" s="44" t="n"/>
      <c r="AG5" s="44" t="n"/>
      <c r="AH5" s="44" t="n"/>
      <c r="AI5" s="44" t="n"/>
      <c r="AJ5" s="44" t="n"/>
      <c r="AK5" s="44" t="n"/>
      <c r="AL5" s="44" t="n"/>
      <c r="AM5" s="44" t="n"/>
      <c r="AN5" s="44" t="n"/>
      <c r="AO5" s="44" t="n"/>
      <c r="AP5" s="44" t="n"/>
      <c r="AQ5" s="44" t="n"/>
      <c r="AR5" s="44" t="n"/>
      <c r="AS5" s="44" t="n"/>
      <c r="AT5" s="44" t="n"/>
      <c r="AU5" s="44" t="n"/>
      <c r="AV5" s="44" t="n"/>
      <c r="AW5" s="44" t="n"/>
      <c r="AX5" s="44" t="n"/>
      <c r="AY5" s="44" t="n"/>
      <c r="AZ5" s="44" t="n"/>
      <c r="BA5" s="44" t="n"/>
      <c r="BB5" s="45" t="n"/>
      <c r="BC5" s="26" t="inlineStr">
        <is>
          <t>REVISO:</t>
        </is>
      </c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7" t="n"/>
      <c r="BO5" s="25" t="inlineStr">
        <is>
          <t>F.NAVIA</t>
        </is>
      </c>
      <c r="BP5" s="48" t="n"/>
      <c r="BQ5" s="48" t="n"/>
      <c r="BR5" s="48" t="n"/>
      <c r="BS5" s="48" t="n"/>
      <c r="BT5" s="48" t="n"/>
      <c r="BU5" s="48" t="n"/>
      <c r="BV5" s="48" t="n"/>
      <c r="BW5" s="48" t="n"/>
      <c r="BX5" s="48" t="n"/>
      <c r="BY5" s="48" t="n"/>
      <c r="BZ5" s="49" t="n"/>
    </row>
    <row r="6" ht="25" customFormat="1" customHeight="1" s="2">
      <c r="A6" s="28" t="inlineStr">
        <is>
          <t>PROYECTO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  <c r="N6" s="28" t="inlineStr">
        <is>
          <t>P2437</t>
        </is>
      </c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7" t="n"/>
      <c r="Z6" s="52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4" t="n"/>
      <c r="BC6" s="26" t="inlineStr">
        <is>
          <t>APROBO:</t>
        </is>
      </c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7" t="n"/>
      <c r="BO6" s="25" t="inlineStr">
        <is>
          <t>H.ROSERO</t>
        </is>
      </c>
      <c r="BP6" s="48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</row>
    <row r="7" ht="15" customHeight="1"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41" t="inlineStr">
        <is>
          <t>Elaborado por:</t>
        </is>
      </c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5" t="n"/>
      <c r="AF21" s="41" t="inlineStr">
        <is>
          <t>Revisado por:</t>
        </is>
      </c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5" t="n"/>
      <c r="AT21" s="41" t="inlineStr">
        <is>
          <t>Aprobado por:</t>
        </is>
      </c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5" t="n"/>
    </row>
    <row r="22" ht="15" customHeight="1"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50" t="n"/>
      <c r="AE22" s="51" t="n"/>
      <c r="AF22" s="50" t="n"/>
      <c r="AS22" s="51" t="n"/>
      <c r="AT22" s="50" t="n"/>
      <c r="BG22" s="51" t="n"/>
    </row>
    <row r="23" ht="15" customHeight="1"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52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4" t="n"/>
      <c r="AF23" s="52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4" t="n"/>
      <c r="AT23" s="52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4" t="n"/>
    </row>
    <row r="24" ht="15" customHeight="1"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3" t="inlineStr">
        <is>
          <t>J.ARBOLEDA</t>
        </is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5" t="n"/>
      <c r="AF24" s="2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5" t="n"/>
      <c r="AT24" s="2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5" t="n"/>
    </row>
    <row r="25" ht="15" customHeight="1"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50" t="n"/>
      <c r="AE25" s="51" t="n"/>
      <c r="AF25" s="50" t="n"/>
      <c r="AS25" s="51" t="n"/>
      <c r="AT25" s="50" t="n"/>
      <c r="BG25" s="51" t="n"/>
    </row>
    <row r="26" ht="15" customHeight="1"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52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4" t="n"/>
      <c r="AF26" s="52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4" t="n"/>
      <c r="AT26" s="52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4" t="n"/>
    </row>
    <row r="27" ht="15" customHeight="1"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4">
        <f>"Fecha :"&amp;BO3</f>
        <v/>
      </c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5" t="n"/>
      <c r="AF27" s="24">
        <f>"Fecha :"&amp;CC1</f>
        <v/>
      </c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5" t="n"/>
      <c r="AT27" s="24">
        <f>"Fecha :"&amp;CC2</f>
        <v/>
      </c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/>
      <c r="BG27" s="45" t="n"/>
    </row>
    <row r="28" ht="15" customHeight="1"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50" t="n"/>
      <c r="AE28" s="51" t="n"/>
      <c r="AF28" s="50" t="n"/>
      <c r="AS28" s="51" t="n"/>
      <c r="AT28" s="50" t="n"/>
      <c r="BG28" s="51" t="n"/>
    </row>
    <row r="29" ht="15" customHeight="1"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52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4" t="n"/>
      <c r="AF29" s="52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4" t="n"/>
      <c r="AT29" s="52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4" t="n"/>
    </row>
    <row r="30" ht="15" customHeight="1"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G39" s="21" t="n"/>
      <c r="H39" s="21" t="n"/>
      <c r="I39" s="21" t="n"/>
      <c r="J39" s="21" t="n"/>
      <c r="K39" s="21" t="n"/>
      <c r="L39" s="21" t="n"/>
      <c r="M39" s="21" t="n"/>
      <c r="N39" s="21" t="n"/>
      <c r="O39" s="42" t="inlineStr">
        <is>
          <t>Versión</t>
        </is>
      </c>
      <c r="P39" s="44" t="n"/>
      <c r="Q39" s="44" t="n"/>
      <c r="R39" s="44" t="n"/>
      <c r="S39" s="44" t="n"/>
      <c r="T39" s="44" t="n"/>
      <c r="U39" s="45" t="n"/>
      <c r="V39" s="42" t="inlineStr">
        <is>
          <t>Autor</t>
        </is>
      </c>
      <c r="W39" s="44" t="n"/>
      <c r="X39" s="44" t="n"/>
      <c r="Y39" s="44" t="n"/>
      <c r="Z39" s="44" t="n"/>
      <c r="AA39" s="44" t="n"/>
      <c r="AB39" s="45" t="n"/>
      <c r="AC39" s="43" t="inlineStr">
        <is>
          <t>Descripción</t>
        </is>
      </c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5" t="n"/>
      <c r="AP39" s="42" t="inlineStr">
        <is>
          <t>Fecha de elaboración</t>
        </is>
      </c>
      <c r="AQ39" s="44" t="n"/>
      <c r="AR39" s="44" t="n"/>
      <c r="AS39" s="44" t="n"/>
      <c r="AT39" s="44" t="n"/>
      <c r="AU39" s="44" t="n"/>
      <c r="AV39" s="45" t="n"/>
      <c r="AW39" s="42" t="inlineStr">
        <is>
          <t>Fecha de revisión</t>
        </is>
      </c>
      <c r="AX39" s="44" t="n"/>
      <c r="AY39" s="44" t="n"/>
      <c r="AZ39" s="44" t="n"/>
      <c r="BA39" s="44" t="n"/>
      <c r="BB39" s="44" t="n"/>
      <c r="BC39" s="45" t="n"/>
      <c r="BD39" s="42" t="inlineStr">
        <is>
          <t>Revisado por</t>
        </is>
      </c>
      <c r="BE39" s="44" t="n"/>
      <c r="BF39" s="44" t="n"/>
      <c r="BG39" s="44" t="n"/>
      <c r="BH39" s="44" t="n"/>
      <c r="BI39" s="44" t="n"/>
      <c r="BJ39" s="45" t="n"/>
    </row>
    <row r="40" ht="15" customHeight="1">
      <c r="G40" s="21" t="n"/>
      <c r="H40" s="21" t="n"/>
      <c r="I40" s="21" t="n"/>
      <c r="J40" s="21" t="n"/>
      <c r="K40" s="21" t="n"/>
      <c r="L40" s="21" t="n"/>
      <c r="M40" s="21" t="n"/>
      <c r="N40" s="21" t="n"/>
      <c r="O40" s="50" t="n"/>
      <c r="U40" s="51" t="n"/>
      <c r="V40" s="50" t="n"/>
      <c r="AB40" s="51" t="n"/>
      <c r="AC40" s="50" t="n"/>
      <c r="AO40" s="51" t="n"/>
      <c r="AP40" s="50" t="n"/>
      <c r="AV40" s="51" t="n"/>
      <c r="AW40" s="50" t="n"/>
      <c r="BC40" s="51" t="n"/>
      <c r="BD40" s="50" t="n"/>
      <c r="BJ40" s="51" t="n"/>
    </row>
    <row r="41" ht="15" customHeight="1">
      <c r="G41" s="21" t="n"/>
      <c r="H41" s="21" t="n"/>
      <c r="I41" s="21" t="n"/>
      <c r="J41" s="21" t="n"/>
      <c r="K41" s="21" t="n"/>
      <c r="L41" s="21" t="n"/>
      <c r="M41" s="21" t="n"/>
      <c r="N41" s="21" t="n"/>
      <c r="O41" s="52" t="n"/>
      <c r="P41" s="53" t="n"/>
      <c r="Q41" s="53" t="n"/>
      <c r="R41" s="53" t="n"/>
      <c r="S41" s="53" t="n"/>
      <c r="T41" s="53" t="n"/>
      <c r="U41" s="54" t="n"/>
      <c r="V41" s="52" t="n"/>
      <c r="W41" s="53" t="n"/>
      <c r="X41" s="53" t="n"/>
      <c r="Y41" s="53" t="n"/>
      <c r="Z41" s="53" t="n"/>
      <c r="AA41" s="53" t="n"/>
      <c r="AB41" s="54" t="n"/>
      <c r="AC41" s="52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4" t="n"/>
      <c r="AP41" s="52" t="n"/>
      <c r="AQ41" s="53" t="n"/>
      <c r="AR41" s="53" t="n"/>
      <c r="AS41" s="53" t="n"/>
      <c r="AT41" s="53" t="n"/>
      <c r="AU41" s="53" t="n"/>
      <c r="AV41" s="54" t="n"/>
      <c r="AW41" s="52" t="n"/>
      <c r="AX41" s="53" t="n"/>
      <c r="AY41" s="53" t="n"/>
      <c r="AZ41" s="53" t="n"/>
      <c r="BA41" s="53" t="n"/>
      <c r="BB41" s="53" t="n"/>
      <c r="BC41" s="54" t="n"/>
      <c r="BD41" s="52" t="n"/>
      <c r="BE41" s="53" t="n"/>
      <c r="BF41" s="53" t="n"/>
      <c r="BG41" s="53" t="n"/>
      <c r="BH41" s="53" t="n"/>
      <c r="BI41" s="53" t="n"/>
      <c r="BJ41" s="54" t="n"/>
    </row>
    <row r="42" ht="15" customHeight="1">
      <c r="G42" s="21" t="n"/>
      <c r="H42" s="21" t="n"/>
      <c r="I42" s="21" t="n"/>
      <c r="J42" s="21" t="n"/>
      <c r="K42" s="21" t="n"/>
      <c r="L42" s="21" t="n"/>
      <c r="M42" s="21" t="n"/>
      <c r="N42" s="21" t="n"/>
      <c r="O42" s="37" t="inlineStr">
        <is>
          <t>CERO (0)</t>
        </is>
      </c>
      <c r="P42" s="44" t="n"/>
      <c r="Q42" s="44" t="n"/>
      <c r="R42" s="44" t="n"/>
      <c r="S42" s="44" t="n"/>
      <c r="T42" s="44" t="n"/>
      <c r="U42" s="45" t="n"/>
      <c r="V42" s="37" t="inlineStr">
        <is>
          <t>J.ARBOLEDA</t>
        </is>
      </c>
      <c r="W42" s="44" t="n"/>
      <c r="X42" s="44" t="n"/>
      <c r="Y42" s="44" t="n"/>
      <c r="Z42" s="44" t="n"/>
      <c r="AA42" s="44" t="n"/>
      <c r="AB42" s="45" t="n"/>
      <c r="AC42" s="38" t="inlineStr">
        <is>
          <t>Emitido para cotizacion</t>
        </is>
      </c>
      <c r="AD42" s="44" t="n"/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5" t="n"/>
      <c r="AP42" s="39">
        <f>BO3</f>
        <v/>
      </c>
      <c r="AQ42" s="44" t="n"/>
      <c r="AR42" s="44" t="n"/>
      <c r="AS42" s="44" t="n"/>
      <c r="AT42" s="44" t="n"/>
      <c r="AU42" s="44" t="n"/>
      <c r="AV42" s="45" t="n"/>
      <c r="AW42" s="39">
        <f>AT27</f>
        <v/>
      </c>
      <c r="AX42" s="44" t="n"/>
      <c r="AY42" s="44" t="n"/>
      <c r="AZ42" s="44" t="n"/>
      <c r="BA42" s="44" t="n"/>
      <c r="BB42" s="44" t="n"/>
      <c r="BC42" s="45" t="n"/>
      <c r="BD42" s="40">
        <f>BO5</f>
        <v/>
      </c>
      <c r="BE42" s="44" t="n"/>
      <c r="BF42" s="44" t="n"/>
      <c r="BG42" s="44" t="n"/>
      <c r="BH42" s="44" t="n"/>
      <c r="BI42" s="44" t="n"/>
      <c r="BJ42" s="45" t="n"/>
    </row>
    <row r="43" ht="15" customHeight="1">
      <c r="G43" s="21" t="n"/>
      <c r="H43" s="21" t="n"/>
      <c r="I43" s="21" t="n"/>
      <c r="J43" s="21" t="n"/>
      <c r="K43" s="21" t="n"/>
      <c r="L43" s="21" t="n"/>
      <c r="M43" s="21" t="n"/>
      <c r="N43" s="21" t="n"/>
      <c r="O43" s="50" t="n"/>
      <c r="U43" s="51" t="n"/>
      <c r="V43" s="50" t="n"/>
      <c r="AB43" s="51" t="n"/>
      <c r="AC43" s="50" t="n"/>
      <c r="AO43" s="51" t="n"/>
      <c r="AP43" s="50" t="n"/>
      <c r="AV43" s="51" t="n"/>
      <c r="AW43" s="50" t="n"/>
      <c r="BC43" s="51" t="n"/>
      <c r="BD43" s="50" t="n"/>
      <c r="BJ43" s="51" t="n"/>
      <c r="BP43" s="21" t="n"/>
    </row>
    <row r="44" ht="15" customHeight="1">
      <c r="G44" s="21" t="n"/>
      <c r="H44" s="21" t="n"/>
      <c r="I44" s="21" t="n"/>
      <c r="J44" s="21" t="n"/>
      <c r="K44" s="21" t="n"/>
      <c r="L44" s="21" t="n"/>
      <c r="M44" s="21" t="n"/>
      <c r="N44" s="21" t="n"/>
      <c r="O44" s="52" t="n"/>
      <c r="P44" s="53" t="n"/>
      <c r="Q44" s="53" t="n"/>
      <c r="R44" s="53" t="n"/>
      <c r="S44" s="53" t="n"/>
      <c r="T44" s="53" t="n"/>
      <c r="U44" s="54" t="n"/>
      <c r="V44" s="52" t="n"/>
      <c r="W44" s="53" t="n"/>
      <c r="X44" s="53" t="n"/>
      <c r="Y44" s="53" t="n"/>
      <c r="Z44" s="53" t="n"/>
      <c r="AA44" s="53" t="n"/>
      <c r="AB44" s="54" t="n"/>
      <c r="AC44" s="52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4" t="n"/>
      <c r="AP44" s="52" t="n"/>
      <c r="AQ44" s="53" t="n"/>
      <c r="AR44" s="53" t="n"/>
      <c r="AS44" s="53" t="n"/>
      <c r="AT44" s="53" t="n"/>
      <c r="AU44" s="53" t="n"/>
      <c r="AV44" s="54" t="n"/>
      <c r="AW44" s="52" t="n"/>
      <c r="AX44" s="53" t="n"/>
      <c r="AY44" s="53" t="n"/>
      <c r="AZ44" s="53" t="n"/>
      <c r="BA44" s="53" t="n"/>
      <c r="BB44" s="53" t="n"/>
      <c r="BC44" s="54" t="n"/>
      <c r="BD44" s="52" t="n"/>
      <c r="BE44" s="53" t="n"/>
      <c r="BF44" s="53" t="n"/>
      <c r="BG44" s="53" t="n"/>
      <c r="BH44" s="53" t="n"/>
      <c r="BI44" s="53" t="n"/>
      <c r="BJ44" s="54" t="n"/>
    </row>
    <row r="45" ht="15" customHeight="1">
      <c r="G45" s="21" t="n"/>
      <c r="H45" s="21" t="n"/>
      <c r="I45" s="21" t="n"/>
      <c r="J45" s="21" t="n"/>
      <c r="K45" s="21" t="n"/>
      <c r="L45" s="21" t="n"/>
      <c r="M45" s="21" t="n"/>
      <c r="N45" s="21" t="n"/>
      <c r="O45" s="20" t="n"/>
      <c r="P45" s="44" t="n"/>
      <c r="Q45" s="44" t="n"/>
      <c r="R45" s="44" t="n"/>
      <c r="S45" s="44" t="n"/>
      <c r="T45" s="44" t="n"/>
      <c r="U45" s="45" t="n"/>
      <c r="V45" s="20" t="n"/>
      <c r="W45" s="44" t="n"/>
      <c r="X45" s="44" t="n"/>
      <c r="Y45" s="44" t="n"/>
      <c r="Z45" s="44" t="n"/>
      <c r="AA45" s="44" t="n"/>
      <c r="AB45" s="45" t="n"/>
      <c r="AC45" s="22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5" t="n"/>
      <c r="AP45" s="20" t="n"/>
      <c r="AQ45" s="44" t="n"/>
      <c r="AR45" s="44" t="n"/>
      <c r="AS45" s="44" t="n"/>
      <c r="AT45" s="44" t="n"/>
      <c r="AU45" s="44" t="n"/>
      <c r="AV45" s="45" t="n"/>
      <c r="AW45" s="20" t="n"/>
      <c r="AX45" s="44" t="n"/>
      <c r="AY45" s="44" t="n"/>
      <c r="AZ45" s="44" t="n"/>
      <c r="BA45" s="44" t="n"/>
      <c r="BB45" s="44" t="n"/>
      <c r="BC45" s="45" t="n"/>
      <c r="BD45" s="20" t="n"/>
      <c r="BE45" s="44" t="n"/>
      <c r="BF45" s="44" t="n"/>
      <c r="BG45" s="44" t="n"/>
      <c r="BH45" s="44" t="n"/>
      <c r="BI45" s="44" t="n"/>
      <c r="BJ45" s="45" t="n"/>
    </row>
    <row r="46" ht="15" customHeight="1">
      <c r="G46" s="21" t="n"/>
      <c r="H46" s="21" t="n"/>
      <c r="I46" s="21" t="n"/>
      <c r="J46" s="21" t="n"/>
      <c r="K46" s="21" t="n"/>
      <c r="L46" s="21" t="n"/>
      <c r="M46" s="21" t="n"/>
      <c r="N46" s="21" t="n"/>
      <c r="O46" s="50" t="n"/>
      <c r="U46" s="51" t="n"/>
      <c r="V46" s="50" t="n"/>
      <c r="AB46" s="51" t="n"/>
      <c r="AC46" s="50" t="n"/>
      <c r="AO46" s="51" t="n"/>
      <c r="AP46" s="50" t="n"/>
      <c r="AV46" s="51" t="n"/>
      <c r="AW46" s="50" t="n"/>
      <c r="BC46" s="51" t="n"/>
      <c r="BD46" s="50" t="n"/>
      <c r="BJ46" s="51" t="n"/>
    </row>
    <row r="47" ht="15" customHeight="1">
      <c r="G47" s="21" t="n"/>
      <c r="H47" s="21" t="n"/>
      <c r="I47" s="21" t="n"/>
      <c r="J47" s="21" t="n"/>
      <c r="K47" s="21" t="n"/>
      <c r="L47" s="21" t="n"/>
      <c r="M47" s="21" t="n"/>
      <c r="N47" s="21" t="n"/>
      <c r="O47" s="52" t="n"/>
      <c r="P47" s="53" t="n"/>
      <c r="Q47" s="53" t="n"/>
      <c r="R47" s="53" t="n"/>
      <c r="S47" s="53" t="n"/>
      <c r="T47" s="53" t="n"/>
      <c r="U47" s="54" t="n"/>
      <c r="V47" s="52" t="n"/>
      <c r="W47" s="53" t="n"/>
      <c r="X47" s="53" t="n"/>
      <c r="Y47" s="53" t="n"/>
      <c r="Z47" s="53" t="n"/>
      <c r="AA47" s="53" t="n"/>
      <c r="AB47" s="54" t="n"/>
      <c r="AC47" s="52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4" t="n"/>
      <c r="AP47" s="52" t="n"/>
      <c r="AQ47" s="53" t="n"/>
      <c r="AR47" s="53" t="n"/>
      <c r="AS47" s="53" t="n"/>
      <c r="AT47" s="53" t="n"/>
      <c r="AU47" s="53" t="n"/>
      <c r="AV47" s="54" t="n"/>
      <c r="AW47" s="52" t="n"/>
      <c r="AX47" s="53" t="n"/>
      <c r="AY47" s="53" t="n"/>
      <c r="AZ47" s="53" t="n"/>
      <c r="BA47" s="53" t="n"/>
      <c r="BB47" s="53" t="n"/>
      <c r="BC47" s="54" t="n"/>
      <c r="BD47" s="52" t="n"/>
      <c r="BE47" s="53" t="n"/>
      <c r="BF47" s="53" t="n"/>
      <c r="BG47" s="53" t="n"/>
      <c r="BH47" s="53" t="n"/>
      <c r="BI47" s="53" t="n"/>
      <c r="BJ47" s="54" t="n"/>
    </row>
    <row r="48" ht="15" customHeight="1">
      <c r="O48" s="19" t="n"/>
      <c r="V48" s="19" t="n"/>
      <c r="AC48" s="19" t="n"/>
      <c r="AP48" s="19" t="n"/>
      <c r="AW48" s="19" t="n"/>
      <c r="BD48" s="19" t="n"/>
    </row>
    <row r="49" ht="15" customHeight="1"/>
    <row r="50" ht="15" customHeight="1"/>
    <row r="52" ht="15" customHeight="1"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4" ht="15" customHeight="1"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30.6132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9.25" customHeight="1">
      <c r="A1" s="35" t="n"/>
      <c r="B1" s="36" t="n"/>
      <c r="C1" s="35">
        <f>PORTADA!Z1</f>
        <v/>
      </c>
      <c r="D1" s="46" t="n"/>
      <c r="E1" s="46" t="n"/>
      <c r="F1" s="46" t="n"/>
      <c r="G1" s="46" t="n"/>
      <c r="H1" s="46" t="n"/>
      <c r="I1" s="46" t="n"/>
      <c r="J1" s="46" t="n"/>
      <c r="K1" s="46" t="n"/>
      <c r="L1" s="47" t="n"/>
      <c r="M1" s="12" t="inlineStr">
        <is>
          <t>CODIGO:</t>
        </is>
      </c>
      <c r="N1" s="32">
        <f>PORTADA!BO1</f>
        <v/>
      </c>
      <c r="O1" s="47" t="n"/>
    </row>
    <row r="2" ht="29.25" customHeight="1">
      <c r="A2" s="56" t="n"/>
      <c r="B2" s="56" t="n"/>
      <c r="C2" s="35">
        <f>PORTADA!Z3</f>
        <v/>
      </c>
      <c r="D2" s="44" t="n"/>
      <c r="E2" s="44" t="n"/>
      <c r="F2" s="44" t="n"/>
      <c r="G2" s="44" t="n"/>
      <c r="H2" s="44" t="n"/>
      <c r="I2" s="44" t="n"/>
      <c r="J2" s="44" t="n"/>
      <c r="K2" s="44" t="n"/>
      <c r="L2" s="45" t="n"/>
      <c r="M2" s="12" t="inlineStr">
        <is>
          <t>REVISION:</t>
        </is>
      </c>
      <c r="N2" s="32">
        <f>PORTADA!BO2</f>
        <v/>
      </c>
      <c r="O2" s="47" t="n"/>
    </row>
    <row r="3" ht="29.25" customHeight="1">
      <c r="A3" s="56" t="n"/>
      <c r="B3" s="56" t="n"/>
      <c r="C3" s="52" t="n"/>
      <c r="D3" s="53" t="n"/>
      <c r="E3" s="53" t="n"/>
      <c r="F3" s="53" t="n"/>
      <c r="G3" s="53" t="n"/>
      <c r="H3" s="53" t="n"/>
      <c r="I3" s="53" t="n"/>
      <c r="J3" s="53" t="n"/>
      <c r="K3" s="53" t="n"/>
      <c r="L3" s="54" t="n"/>
      <c r="M3" s="12" t="inlineStr">
        <is>
          <t>FECHA:</t>
        </is>
      </c>
      <c r="N3" s="32">
        <f>PORTADA!BO3</f>
        <v/>
      </c>
      <c r="O3" s="47" t="n"/>
    </row>
    <row r="4" ht="29.25" customHeight="1">
      <c r="A4" s="56" t="n"/>
      <c r="B4" s="56" t="n"/>
      <c r="C4" s="35">
        <f>PORTADA!Z5</f>
        <v/>
      </c>
      <c r="D4" s="44" t="n"/>
      <c r="E4" s="44" t="n"/>
      <c r="F4" s="44" t="n"/>
      <c r="G4" s="44" t="n"/>
      <c r="H4" s="44" t="n"/>
      <c r="I4" s="44" t="n"/>
      <c r="J4" s="44" t="n"/>
      <c r="K4" s="44" t="n"/>
      <c r="L4" s="45" t="n"/>
      <c r="M4" s="12" t="inlineStr">
        <is>
          <t>ELABORO:</t>
        </is>
      </c>
      <c r="N4" s="32">
        <f>PORTADA!BO4</f>
        <v/>
      </c>
      <c r="O4" s="47" t="n"/>
    </row>
    <row r="5" ht="29.25" customHeight="1">
      <c r="A5" s="57" t="n"/>
      <c r="B5" s="57" t="n"/>
      <c r="C5" s="50" t="n"/>
      <c r="L5" s="51" t="n"/>
      <c r="M5" s="12" t="inlineStr">
        <is>
          <t xml:space="preserve">REVISO:      </t>
        </is>
      </c>
      <c r="N5" s="32">
        <f>PORTADA!BO5</f>
        <v/>
      </c>
      <c r="O5" s="47" t="n"/>
    </row>
    <row r="6" ht="29.25" customHeight="1">
      <c r="A6" s="12" t="inlineStr">
        <is>
          <t>PROYECTO:</t>
        </is>
      </c>
      <c r="B6" s="35">
        <f>PORTADA!N6</f>
        <v/>
      </c>
      <c r="C6" s="52" t="n"/>
      <c r="D6" s="53" t="n"/>
      <c r="E6" s="53" t="n"/>
      <c r="F6" s="53" t="n"/>
      <c r="G6" s="53" t="n"/>
      <c r="H6" s="53" t="n"/>
      <c r="I6" s="53" t="n"/>
      <c r="J6" s="53" t="n"/>
      <c r="K6" s="53" t="n"/>
      <c r="L6" s="54" t="n"/>
      <c r="M6" s="12" t="inlineStr">
        <is>
          <t>APROBO:</t>
        </is>
      </c>
      <c r="N6" s="32">
        <f>PORTADA!BO6</f>
        <v/>
      </c>
      <c r="O6" s="47" t="n"/>
    </row>
    <row r="7" ht="25" customHeight="1">
      <c r="A7" s="18" t="n">
        <v>1</v>
      </c>
      <c r="B7" s="18" t="n">
        <v>2</v>
      </c>
      <c r="C7" s="18" t="n">
        <v>3</v>
      </c>
      <c r="D7" s="18" t="n">
        <v>4</v>
      </c>
      <c r="E7" s="18" t="n">
        <v>5</v>
      </c>
      <c r="F7" s="18" t="n">
        <v>6</v>
      </c>
      <c r="G7" s="18" t="n">
        <v>7</v>
      </c>
      <c r="H7" s="18" t="n">
        <v>8</v>
      </c>
      <c r="I7" s="18" t="n">
        <v>9</v>
      </c>
      <c r="J7" s="18" t="n">
        <v>10</v>
      </c>
      <c r="K7" s="18" t="n">
        <v>11</v>
      </c>
      <c r="L7" s="18" t="n">
        <v>12</v>
      </c>
      <c r="M7" s="18" t="n">
        <v>13</v>
      </c>
      <c r="N7" s="18" t="n">
        <v>14</v>
      </c>
      <c r="O7" s="18" t="n">
        <v>15</v>
      </c>
    </row>
    <row r="8" ht="45" customHeight="1">
      <c r="A8" s="58" t="inlineStr">
        <is>
          <t>LISTADO DE EQUIPOS Y MATERIALES (BOQ): SISTEMA DE VENTILACIÓN Y PRESURIZACIÓN POSITIVA</t>
        </is>
      </c>
    </row>
    <row r="9">
      <c r="A9" s="59" t="inlineStr">
        <is>
          <t>Listado de equipos y materiales (BOQ): sistema de ventilación y presurización positiva</t>
        </is>
      </c>
    </row>
    <row r="10">
      <c r="A10" s="60" t="inlineStr">
        <is>
          <t>Proyecto: P2437-HV-INF-001 — BRINSA, laboratorio de análisis industrial, Cajicá (Cundinamarca)</t>
        </is>
      </c>
    </row>
    <row r="11">
      <c r="A11" s="60" t="inlineStr">
        <is>
          <t>Documento: listado_equipos.md — Revisión 0</t>
        </is>
      </c>
    </row>
    <row r="12">
      <c r="A12" s="60" t="inlineStr">
        <is>
          <t>Fecha: 2026-07-23</t>
        </is>
      </c>
    </row>
    <row r="13">
      <c r="A13" s="60" t="inlineStr">
        <is>
          <t>Base: informe_investigacion.md (misma revisión); punto de diseño 3 840 m³/h @ 190 Pa en el sitio (260 Pa equivalente de catálogo, ρ = 1.2 kg/m³).</t>
        </is>
      </c>
    </row>
    <row r="14"/>
    <row r="16">
      <c r="A16" s="61" t="inlineStr">
        <is>
          <t>1. Alcance del suministro</t>
        </is>
      </c>
    </row>
    <row r="17">
      <c r="A17" s="60" t="inlineStr">
        <is>
          <t>1.1. El listado cubre todo lo necesario para que el sistema sea funcional: máquina de impulsión, etapa filtrante, exfiltración, control de presurización, instrumentación y montaje, incluidas las protecciones eléctricas exigidas por RETIE/NTC 2050. Las cantidades corresponden a un (1) sistema completo para el laboratorio de 320 m³ (12 renovaciones/h).</t>
        </is>
      </c>
    </row>
    <row r="18"/>
    <row r="19"/>
    <row r="20"/>
    <row r="22">
      <c r="A22" s="61" t="inlineStr">
        <is>
          <t>2. Tabla de equipos y materiales</t>
        </is>
      </c>
    </row>
    <row r="23">
      <c r="A23" s="62" t="inlineStr">
        <is>
          <t>Tabla 1. BOQ del sistema de presurización positiva (consulta de fuentes 2026-07-23).</t>
        </is>
      </c>
    </row>
    <row r="24">
      <c r="A24" s="63" t="inlineStr">
        <is>
          <t>Ítem</t>
        </is>
      </c>
      <c r="B24" s="63" t="inlineStr">
        <is>
          <t>Función</t>
        </is>
      </c>
      <c r="C24" s="63" t="inlineStr">
        <is>
          <t>Especificación clave</t>
        </is>
      </c>
      <c r="D24" s="63" t="inlineStr">
        <is>
          <t>Material / compatibilidad corrosiva</t>
        </is>
      </c>
      <c r="E24" s="63" t="inlineStr">
        <is>
          <t>Cant.</t>
        </is>
      </c>
      <c r="F24" s="63" t="inlineStr">
        <is>
          <t>Candidatos comerciales (fabricante/modelo)</t>
        </is>
      </c>
      <c r="G24" s="63" t="inlineStr">
        <is>
          <t>Fuente</t>
        </is>
      </c>
    </row>
    <row r="25">
      <c r="A25" s="64" t="inlineStr">
        <is>
          <t>1</t>
        </is>
      </c>
      <c r="B25" s="64" t="inlineStr">
        <is>
          <t>Ventilador de impulsión</t>
        </is>
      </c>
      <c r="C25" s="64" t="inlineStr">
        <is>
          <t>Centrífugo álabes curvados atrás; 3 840 m³/h @ 260 Pa (catálogo, ρ = 1.2 kg/m³) ≡ 190 Pa en sitio; AMCA 210; Spark A</t>
        </is>
      </c>
      <c r="D25" s="64" t="inlineStr">
        <is>
          <t>PRFV viniléster (ASTM C582/D4167); alternativa PP</t>
        </is>
      </c>
      <c r="E25" s="64" t="inlineStr">
        <is>
          <t>1</t>
        </is>
      </c>
      <c r="F25" s="64" t="inlineStr">
        <is>
          <t>Greenheck BCSW-FRP (vía Prime Lines HVAC, Bogotá); NYB FRP Fume Exhauster; Sodeca CPV; Plastec 25/30; S&amp;P línea PP</t>
        </is>
      </c>
      <c r="G25" s="64" t="inlineStr">
        <is>
          <t>BCSW-FRP (https://content.greenheck.com/public/DAMProd/Original/10002/BCSWFRP_catalog.pdf); NYB (https://www.nyb.com/frp-fume-exhauster/); Sodeca CPV (https://www.sodeca.com/es/sistemas-de-ventilacion-extraccion/cpv-p1000000071)</t>
        </is>
      </c>
    </row>
    <row r="26">
      <c r="A26" s="64" t="inlineStr">
        <is>
          <t>2</t>
        </is>
      </c>
      <c r="B26" s="64" t="inlineStr">
        <is>
          <t>Motor del ventilador</t>
        </is>
      </c>
      <c r="C26" s="64" t="inlineStr">
        <is>
          <t>1.0 HP, TEFC, 1 800 RPM (4 polos), 60 Hz, clase F, IP55 mín., severe duty epóxico; 440 V 3φ (confirmado por el cliente, 2026-07-23)</t>
        </is>
      </c>
      <c r="D26" s="64" t="inlineStr">
        <is>
          <t>Pintura epóxica + protección interna anticorrosiva; motor fuera de la corriente</t>
        </is>
      </c>
      <c r="E26" s="64" t="inlineStr">
        <is>
          <t>1</t>
        </is>
      </c>
      <c r="F26" s="64" t="inlineStr">
        <is>
          <t>Leeson/Regal Severe Duty; Baldor-Reliance IEEE 841XL; WEG W22 IEEE 841</t>
        </is>
      </c>
      <c r="G26" s="64" t="inlineStr">
        <is>
          <t>Leeson (PDF) (https://www.regalrexnord.com/-/media/documents/brands/literature/industries/leeson_product_catalog_1050.pdf); Baldor 841XL (https://www.baldor.com/mvc/DownloadCenter/Files/9AKK108319)</t>
        </is>
      </c>
    </row>
    <row r="27">
      <c r="A27" s="64" t="inlineStr">
        <is>
          <t>3</t>
        </is>
      </c>
      <c r="B27" s="64" t="inlineStr">
        <is>
          <t>Prefiltro (etapa 1)</t>
        </is>
      </c>
      <c r="C27" s="64" t="inlineStr">
        <is>
          <t>Plisado MERV 8 (ASHRAE 52.2); ΔP limpio 50-75 Pa, final 250 Pa (catálogo); 24×24 in</t>
        </is>
      </c>
      <c r="D27" s="64" t="inlineStr">
        <is>
          <t>Marco cartón hidrófugo; inspección de corrosión de la rejilla soporte en el primer año</t>
        </is>
      </c>
      <c r="E27" s="64" t="inlineStr">
        <is>
          <t>1 (+ repuestos)</t>
        </is>
      </c>
      <c r="F27" s="64" t="inlineStr">
        <is>
          <t>Camfil 30/30 / Dual 9; Koch Multi-Pleat XL8</t>
        </is>
      </c>
      <c r="G27" s="64" t="inlineStr">
        <is>
          <t>Camfil 30/30 (PDF) (https://cdn.lsicloud.net/pandhwhsal/documents/406331002-SPS.pdf); Koch XL8 (PDF) (https://fsifiltration.com/wp-content/uploads/2020/08/Pleated-MERV8.pdf)</t>
        </is>
      </c>
    </row>
    <row r="28">
      <c r="A28" s="64" t="inlineStr">
        <is>
          <t>4</t>
        </is>
      </c>
      <c r="B28" s="64" t="inlineStr">
        <is>
          <t>Filtro final (etapa 2)</t>
        </is>
      </c>
      <c r="C28" s="64" t="inlineStr">
        <is>
          <t>V-bank MERV 13-14 (52.2) ≡ ePM1 50-70 % (ISO 16890); ΔP limpio 80 Pa / final 210 Pa (catálogo) ≡ 59/154 Pa en sitio; 24×24 in</t>
        </is>
      </c>
      <c r="D28" s="64" t="inlineStr">
        <is>
          <t>Marco 100 % plástico (ABS/HIPS), sin metal; juntas PU</t>
        </is>
      </c>
      <c r="E28" s="64" t="inlineStr">
        <is>
          <t>1 (+ repuestos)</t>
        </is>
      </c>
      <c r="F28" s="64" t="inlineStr">
        <is>
          <t>Camfil Durafil ES2 (MERV 14); AAF VariCel VXL; Freudenberg MaxiPleat MX 85</t>
        </is>
      </c>
      <c r="G28" s="64" t="inlineStr">
        <is>
          <t>Durafil ES2 (PDF) (https://cdn.lsicloud.net/pandhwhsal/documents/855080-003.pdf); AAF VXL (PDF) (https://aafterms.aafintl.com/-/media/files/aaf/commercial-and-industrial/us-products/box-filters/varicel-vxl/varicel-vxl_prod_mark_sht_afp-1-162.pdf)</t>
        </is>
      </c>
    </row>
    <row r="29">
      <c r="A29" s="64" t="inlineStr">
        <is>
          <t>5</t>
        </is>
      </c>
      <c r="B29" s="64" t="inlineStr">
        <is>
          <t>Marcos portafiltros</t>
        </is>
      </c>
      <c r="C29" s="64" t="inlineStr">
        <is>
          <t>Holding frames para prefiltro + filtro final con junta continua</t>
        </is>
      </c>
      <c r="D29" s="64" t="inlineStr">
        <is>
          <t>Inox 304/316 (no galvanizado); junta PU/EPDM</t>
        </is>
      </c>
      <c r="E29" s="64" t="inlineStr">
        <is>
          <t>1 juego</t>
        </is>
      </c>
      <c r="F29" s="64" t="inlineStr">
        <is>
          <t>Camfil MagnaFrame II (opción inox 304); Camfil Universal Holding Frame (inox)</t>
        </is>
      </c>
      <c r="G29" s="64" t="inlineStr">
        <is>
          <t>MagnaFrame II (https://www.camfil.com/en-ca/products/housings-frames--louvers/filter-holding-frames/filter-holding-frames/magnaframe-ii-gasket-seal-_-47771)</t>
        </is>
      </c>
    </row>
    <row r="30">
      <c r="A30" s="64" t="inlineStr">
        <is>
          <t>6</t>
        </is>
      </c>
      <c r="B30" s="64" t="inlineStr">
        <is>
          <t>Rejillas de exfiltración</t>
        </is>
      </c>
      <c r="C30" s="64" t="inlineStr">
        <is>
          <t>Eggcrate ½ in, 353×336 mm facial; velocidad facial 3 m/s; ΔP 11 Pa en sitio; área libre ≥ 90 %</t>
        </is>
      </c>
      <c r="D30" s="64" t="inlineStr">
        <is>
          <t>Inox 316L (alternativa: aluminio anodizado 6063-T5); ensayo ASHRAE 70</t>
        </is>
      </c>
      <c r="E30" s="64" t="inlineStr">
        <is>
          <t>3</t>
        </is>
      </c>
      <c r="F30" s="64" t="inlineStr">
        <is>
          <t>Titus 50F (versión inox); fabricación local ProAire S.A.S (corte láser inox); Laminaire</t>
        </is>
      </c>
      <c r="G30" s="64" t="inlineStr">
        <is>
          <t>Titus 50F (PDF) (https://www.titus-hvac.com/file/1228/50F_50Rrprod_specialized_2017.pdf); ProAire (https://www.proairecolombia.com/productos/rejillas-y-difusores.html)</t>
        </is>
      </c>
    </row>
    <row r="31">
      <c r="A31" s="64" t="inlineStr">
        <is>
          <t>7</t>
        </is>
      </c>
      <c r="B31" s="64" t="inlineStr">
        <is>
          <t>Malla anti-insectos</t>
        </is>
      </c>
      <c r="C31" s="64" t="inlineStr">
        <is>
          <t>Tejido 18×18, abertura ≈1 mm, área abierta ≥ 48 %; marco desmontable para limpieza</t>
        </is>
      </c>
      <c r="D31" s="64" t="inlineStr">
        <is>
          <t>Inox 316</t>
        </is>
      </c>
      <c r="E31" s="64" t="inlineStr">
        <is>
          <t>3 (una por rejilla)</t>
        </is>
      </c>
      <c r="F31" s="64" t="inlineStr">
        <is>
          <t>Proveedores de malla inox tejida (especificación genérica 18×18, alambre 0.45 mm)</t>
        </is>
      </c>
      <c r="G31" s="64" t="inlineStr">
        <is>
          <t>Tabla área abierta (https://www.industrialmetalmesh.com/sale-54819921-micron-304-316l-stainless-steel-wire-mesh-screen-filter-mesh.html)</t>
        </is>
      </c>
    </row>
    <row r="32">
      <c r="A32" s="64" t="inlineStr">
        <is>
          <t>8</t>
        </is>
      </c>
      <c r="B32" s="64" t="inlineStr">
        <is>
          <t>Damper de alivio barométrico</t>
        </is>
      </c>
      <c r="C32" s="64" t="inlineStr">
        <is>
          <t>Contrapeso ajustable 12-75 Pa (0.05-0.30 in c.a.); set-point +25 Pa; V facial ≤ 2.5 m/s al caudal de alivio; AMCA 500-D</t>
        </is>
      </c>
      <c r="D32" s="64" t="inlineStr">
        <is>
          <t>Aluminio extruido 6063-T5 o línea severe-environment; no galvanizado</t>
        </is>
      </c>
      <c r="E32" s="64" t="inlineStr">
        <is>
          <t>1</t>
        </is>
      </c>
      <c r="F32" s="64" t="inlineStr">
        <is>
          <t>Greenheck SEBR-10; Ruskin CBD6/BD6; Nailor 1390CB-EAF</t>
        </is>
      </c>
      <c r="G32" s="64" t="inlineStr">
        <is>
          <t>SEBR-10 (PDF) (https://content.greenheck.com/public/DAMProd/Original/10002/SEBR10Series_submittal.pdf); Ruskin BD6 (https://www.ruskin.com/model/bd6); Nailor 1390CB (PDF) (https://nailor.com/sites/default/files/documents/1390CB_B_0_0.pdf)</t>
        </is>
      </c>
    </row>
    <row r="33">
      <c r="A33" s="64" t="inlineStr">
        <is>
          <t>9</t>
        </is>
      </c>
      <c r="B33" s="64" t="inlineStr">
        <is>
          <t>Transmisor de presión diferencial</t>
        </is>
      </c>
      <c r="C33" s="64" t="inlineStr">
        <is>
          <t>Rango 0-62.5 Pa (0-0.25 in c.a.); salida 4-20 mA, 2 hilos; constante de tiempo ajustable</t>
        </is>
      </c>
      <c r="D33" s="64" t="inlineStr">
        <is>
          <t>Gabinete NEMA 4X (IP66); montaje interior con toma exterior protegida</t>
        </is>
      </c>
      <c r="E33" s="64" t="inlineStr">
        <is>
          <t>1</t>
        </is>
      </c>
      <c r="F33" s="64" t="inlineStr">
        <is>
          <t>Dwyer MS-121(-LCD) Magnesense; Setra 264; Siemens QBM2130-1U</t>
        </is>
      </c>
      <c r="G33" s="64" t="inlineStr">
        <is>
          <t>Dwyer MS (PDF) (https://www.transcat.com/media/pdf/MS_cat.pdf); Setra 264 (PDF) (https://www.setra.com/hubfs/Product_Data_Sheets/Setra_Model_264_Data_Sheet.pdf)</t>
        </is>
      </c>
    </row>
    <row r="34">
      <c r="A34" s="64" t="inlineStr">
        <is>
          <t>10</t>
        </is>
      </c>
      <c r="B34" s="64" t="inlineStr">
        <is>
          <t>Manómetro diferencial de lectura local</t>
        </is>
      </c>
      <c r="C34" s="64" t="inlineStr">
        <is>
          <t>Magnehelic 2000-00, rango 0-62 Pa (0-0.25 in c.a.); ±2 % FS</t>
        </is>
      </c>
      <c r="D34" s="64" t="inlineStr">
        <is>
          <t>Caja aluminio (niebla salina 168 h); opción bisel inox; montaje interior</t>
        </is>
      </c>
      <c r="E34" s="64" t="inlineStr">
        <is>
          <t>1</t>
        </is>
      </c>
      <c r="F34" s="64" t="inlineStr">
        <is>
          <t>Dwyer Magnehelic 2000-00 (Vía Industrial, RS Importaciones, SICO Global, Bogotá)</t>
        </is>
      </c>
      <c r="G34" s="64" t="inlineStr">
        <is>
          <t>Tabla serie 2000 (https://skilltech.com.br/produto/manometro-para-pressao-diferencial-magnehelic-serie-2000/); Vía Industrial (https://www.viaindustrial.com/dwyer/marca/)</t>
        </is>
      </c>
    </row>
    <row r="35">
      <c r="A35" s="64" t="inlineStr">
        <is>
          <t>11</t>
        </is>
      </c>
      <c r="B35" s="64" t="inlineStr">
        <is>
          <t>Controlador / lógica de alarmas</t>
        </is>
      </c>
      <c r="C35" s="64" t="inlineStr">
        <is>
          <t>Alarma baja +12.5 Pa y alta +40 Pa desde la señal 4-20 mA; retardo 30-60 s</t>
        </is>
      </c>
      <c r="D35" s="64" t="inlineStr">
        <is>
          <t>Integración al PLC/BMS del cliente o relés autónomos</t>
        </is>
      </c>
      <c r="E35" s="64" t="inlineStr">
        <is>
          <t>1</t>
        </is>
      </c>
      <c r="F35" s="64" t="inlineStr">
        <is>
          <t>PLC del cliente (por confirmar); alternativa autónoma Dwyer Photohelic 3000MR-00AV</t>
        </is>
      </c>
      <c r="G35" s="64" t="inlineStr">
        <is>
          <t>Northeast Controls — Photohelic (https://nciweb.net/pressure1.htm)</t>
        </is>
      </c>
    </row>
    <row r="36">
      <c r="A36" s="64" t="inlineStr">
        <is>
          <t>12</t>
        </is>
      </c>
      <c r="B36" s="64" t="inlineStr">
        <is>
          <t>Toma de referencia exterior</t>
        </is>
      </c>
      <c r="C36" s="64" t="inlineStr">
        <is>
          <t>Caja estática de pared orientada a sotavento; tubo de impulso con purga/filtro de membrana</t>
        </is>
      </c>
      <c r="D36" s="64" t="inlineStr">
        <is>
          <t>Inox 316; conexiones 1/8 in NPT con sellante compatible</t>
        </is>
      </c>
      <c r="E36" s="64" t="inlineStr">
        <is>
          <t>1</t>
        </is>
      </c>
      <c r="F36" s="64" t="inlineStr">
        <is>
          <t>Dwyer A-417 o fabricación local inox 316 (dato típico)</t>
        </is>
      </c>
      <c r="G36" s="64" t="inlineStr">
        <is>
          <t>Dwyer MS (PDF) (https://www.transcat.com/media/pdf/MS_cat.pdf)</t>
        </is>
      </c>
    </row>
    <row r="37">
      <c r="A37" s="64" t="inlineStr">
        <is>
          <t>13</t>
        </is>
      </c>
      <c r="B37" s="64" t="inlineStr">
        <is>
          <t>Soportes y ferretería</t>
        </is>
      </c>
      <c r="C37" s="64" t="inlineStr">
        <is>
          <t>Soportes de ventilador, rejillas, damper e instrumentos; pernos, tuercas, arandelas</t>
        </is>
      </c>
      <c r="D37" s="64" t="inlineStr">
        <is>
          <t>Inox 316 (clase A4); aislamiento dieléctrico frente a galvanizado</t>
        </is>
      </c>
      <c r="E37" s="64" t="inlineStr">
        <is>
          <t>Lote</t>
        </is>
      </c>
      <c r="F37" s="64" t="inlineStr">
        <is>
          <t>Suministro nacional genérico A4</t>
        </is>
      </c>
      <c r="G37" s="64" t="inlineStr">
        <is>
          <t>Marsh Fasteners (criterio 304 vs 316) (https://marshfasteners.com/304-vs-316-stainless-steel-bolts/)</t>
        </is>
      </c>
    </row>
    <row r="38">
      <c r="A38" s="64" t="inlineStr">
        <is>
          <t>14</t>
        </is>
      </c>
      <c r="B38" s="64" t="inlineStr">
        <is>
          <t>Conexión flexible ventilador-pasamuros</t>
        </is>
      </c>
      <c r="C38" s="64" t="inlineStr">
        <is>
          <t>Ancho ≥ 100 mm; bandas de amarre inox 316 cal. 24</t>
        </is>
      </c>
      <c r="D38" s="64" t="inlineStr">
        <is>
          <t>Hipalón (CSM); alternativa clorobutilo; no PVC estándar</t>
        </is>
      </c>
      <c r="E38" s="64" t="inlineStr">
        <is>
          <t>1</t>
        </is>
      </c>
      <c r="F38" s="64" t="inlineStr">
        <is>
          <t>Hardcast Hypalon; Proco serie 500</t>
        </is>
      </c>
      <c r="G38" s="64" t="inlineStr">
        <is>
          <t>Hardcast (PDF) (https://6c2bd45d09da3c66a408-2b16a407535c695c8a76f8b06a56f342.ssl.cf2.rackcdn.com/GWB%20%20eCatalog%2006-25-16.pdf)</t>
        </is>
      </c>
    </row>
    <row r="39">
      <c r="A39" s="64" t="inlineStr">
        <is>
          <t>15</t>
        </is>
      </c>
      <c r="B39" s="64" t="inlineStr">
        <is>
          <t>Selladores</t>
        </is>
      </c>
      <c r="C39" s="64" t="inlineStr">
        <is>
          <t>Sellado de pasamuros, marcos y empalmes</t>
        </is>
      </c>
      <c r="D39" s="64" t="inlineStr">
        <is>
          <t>Silicona RTV neutra (no acetoxi); PU solo en zonas sin cloro gaseoso directo</t>
        </is>
      </c>
      <c r="E39" s="64" t="inlineStr">
        <is>
          <t>Lote</t>
        </is>
      </c>
      <c r="F39" s="64" t="inlineStr">
        <is>
          <t>Sikaflex / silicona neutra grado industrial (suministro nacional)</t>
        </is>
      </c>
      <c r="G39" s="64" t="inlineStr">
        <is>
          <t>RTV silicone (PDF) (https://irp.cdn-website.com/63168859/files/uploaded/Chemical%20Resistance%20of%20RTV%20Silicone%20Sealants%20Chart.pdf); Tabla PU (PDF) (https://www.apachepipe.com/assets/chemical-resistance-table.pdf)</t>
        </is>
      </c>
    </row>
    <row r="40">
      <c r="A40" s="64" t="inlineStr">
        <is>
          <t>16</t>
        </is>
      </c>
      <c r="B40" s="64" t="inlineStr">
        <is>
          <t>Protecciones eléctricas y tablero</t>
        </is>
      </c>
      <c r="C40" s="64" t="inlineStr">
        <is>
          <t>Guardamotor, contactor, seccionador, puesta a tierra; tablero IP55/IP66 según ubicación</t>
        </is>
      </c>
      <c r="D40" s="64" t="inlineStr">
        <is>
          <t>Gabinete con tratamiento anticorrosivo; prensaestopas niquelados o inox</t>
        </is>
      </c>
      <c r="E40" s="64" t="inlineStr">
        <is>
          <t>1</t>
        </is>
      </c>
      <c r="F40" s="64" t="inlineStr">
        <is>
          <t>Fabricación local certificada RETIE; componentes Siemens/ABB/WEG</t>
        </is>
      </c>
      <c r="G40" s="64" t="inlineStr">
        <is>
          <t>Requisito RETIE / NTC 2050 (normativo, no de catálogo)</t>
        </is>
      </c>
    </row>
    <row r="41">
      <c r="A41" s="64" t="inlineStr">
        <is>
          <t>17</t>
        </is>
      </c>
      <c r="B41" s="64" t="inlineStr">
        <is>
          <t>Cableado y canalización</t>
        </is>
      </c>
      <c r="C41" s="64" t="inlineStr">
        <is>
          <t>Circuito motor 1.0 HP + circuito instrumentación 4-20 mA apantallado</t>
        </is>
      </c>
      <c r="D41" s="64" t="inlineStr">
        <is>
          <t>Canalización PVC Schedule 80 o conduit inox; no conduit galvanizado expuesto</t>
        </is>
      </c>
      <c r="E41" s="64" t="inlineStr">
        <is>
          <t>Lote</t>
        </is>
      </c>
      <c r="F41" s="64" t="inlineStr">
        <is>
          <t>Suministro nacional certificado RETIE</t>
        </is>
      </c>
      <c r="G41" s="64" t="inlineStr">
        <is>
          <t>Requisito RETIE / NTC 2050</t>
        </is>
      </c>
    </row>
    <row r="44">
      <c r="A44" s="61" t="inlineStr">
        <is>
          <t>3. Notas de suministro</t>
        </is>
      </c>
    </row>
    <row r="45">
      <c r="A45" s="60" t="inlineStr">
        <is>
          <t>3.1. Ítems 1, 4, 8, 9 y 10 requieren cotización formal con submittal: la selección final de tamaño/RPM del ventilador (ítem 1) se confirma con el software del fabricante sobre el punto 3 840 m³/h @ 260 Pa aire estándar.</t>
        </is>
      </c>
    </row>
    <row r="46"/>
    <row r="47"/>
    <row r="48">
      <c r="A48" s="60" t="inlineStr">
        <is>
          <t>3.2. Ítems 3 y 4 son consumibles: se recomienda incluir en la compra inicial un juego de repuestos (un prefiltro y un filtro final) y congelar la especificación en términos MERV/ePM1 + 24×24 in para habilitar segunda fuente nacional (CARVEL S.A./Workclean; carvel.com.co (https://carvel.com.co/catalogo-workclean/filtros-de-aire-acondicionado-tipo-cartucho-fdcjm/), consulta 2026-07-23).</t>
        </is>
      </c>
    </row>
    <row r="49"/>
    <row r="50"/>
    <row r="51"/>
    <row r="52"/>
    <row r="53">
      <c r="A53" s="60" t="inlineStr">
        <is>
          <t>3.3. La tensión de alimentación del motor es 440 V, 3φ, 60 Hz (confirmada por el cliente el 2026-07-23); de ella dependen el guardamotor y el cableado de los ítems 16-17. Los plazos de entrega de los equipos e importaciones se presupuestan con un máximo de 3 meses (dato del cliente, 2026-07-23).</t>
        </is>
      </c>
    </row>
    <row r="54"/>
    <row r="55"/>
    <row r="56"/>
  </sheetData>
  <mergeCells count="21">
    <mergeCell ref="A8:G8"/>
    <mergeCell ref="A22:G22"/>
    <mergeCell ref="A44:G44"/>
    <mergeCell ref="N3:O3"/>
    <mergeCell ref="A9:G9"/>
    <mergeCell ref="N2:O2"/>
    <mergeCell ref="N5:O5"/>
    <mergeCell ref="N1:O1"/>
    <mergeCell ref="C2:L3"/>
    <mergeCell ref="A45:G47"/>
    <mergeCell ref="A13:G14"/>
    <mergeCell ref="A48:G52"/>
    <mergeCell ref="A17:G20"/>
    <mergeCell ref="A16:G16"/>
    <mergeCell ref="A53:G56"/>
    <mergeCell ref="A1:A5"/>
    <mergeCell ref="C1:L1"/>
    <mergeCell ref="C4:L6"/>
    <mergeCell ref="N6:O6"/>
    <mergeCell ref="B1:B5"/>
    <mergeCell ref="N4:O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2026-07-24T12:50:25Z</dcterms:modified>
  <cp:lastModifiedBy>JAG DESIGN</cp:lastModifiedBy>
  <cp:lastPrinted>2026-07-23T18:36:47Z</cp:lastPrinted>
</cp:coreProperties>
</file>