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ORTADA" sheetId="1" state="visible" r:id="rId1"/>
    <sheet name="ESPECIFICACIÓN" sheetId="2" state="visible" r:id="rId2"/>
  </sheets>
  <definedNames>
    <definedName name="_xlnm.Print_Area" localSheetId="0">'PORTADA'!$A$1:$BZ$66</definedName>
  </definedNames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00000000"/>
  </numFmts>
  <fonts count="21"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Calibri"/>
      <family val="2"/>
      <color theme="1"/>
      <sz val="11"/>
      <scheme val="minor"/>
    </font>
    <font>
      <name val="Verdana"/>
      <family val="2"/>
      <color rgb="FF00B050"/>
      <sz val="12"/>
    </font>
    <font>
      <name val="Verdana"/>
      <family val="2"/>
      <b val="1"/>
      <sz val="12"/>
    </font>
    <font>
      <name val="Verdana"/>
      <family val="2"/>
      <sz val="12"/>
    </font>
    <font>
      <name val="Verdana"/>
      <family val="2"/>
      <color theme="1"/>
      <sz val="12"/>
    </font>
    <font>
      <name val="Verdana"/>
      <family val="2"/>
      <color rgb="FFEAEAEA"/>
      <sz val="12"/>
    </font>
    <font>
      <name val="Verdana"/>
      <family val="2"/>
      <b val="1"/>
      <color theme="1"/>
      <sz val="12"/>
    </font>
    <font>
      <name val="Verdana"/>
      <family val="2"/>
      <b val="1"/>
      <color theme="1"/>
      <sz val="15"/>
    </font>
    <font>
      <name val="Verdana"/>
      <family val="2"/>
      <b val="1"/>
      <i val="1"/>
      <color theme="1"/>
      <sz val="15"/>
    </font>
    <font>
      <name val="Verdana"/>
      <family val="2"/>
      <color theme="1"/>
      <sz val="15"/>
    </font>
    <font>
      <name val="Verdana"/>
      <family val="2"/>
      <b val="1"/>
      <sz val="15"/>
    </font>
    <font>
      <name val="Calibri"/>
      <family val="2"/>
      <sz val="8"/>
      <scheme val="minor"/>
    </font>
    <font>
      <name val="Verdana"/>
      <family val="2"/>
      <color theme="1"/>
      <sz val="20"/>
    </font>
    <font>
      <name val="Verdana"/>
      <family val="2"/>
      <b val="1"/>
      <color rgb="FFFFFFFF"/>
      <sz val="22"/>
    </font>
    <font>
      <name val="Verdana"/>
      <family val="2"/>
      <b val="1"/>
      <color theme="1"/>
      <sz val="16"/>
    </font>
    <font>
      <b val="1"/>
      <color rgb="001F4E78"/>
      <sz val="14"/>
    </font>
    <font>
      <b val="1"/>
      <color rgb="00FFFFFF"/>
      <sz val="11"/>
    </font>
    <font>
      <b val="1"/>
      <color rgb="001F4E78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8"/>
        <bgColor rgb="001F4E78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">
    <xf numFmtId="0" fontId="2" fillId="0" borderId="0"/>
    <xf numFmtId="0" fontId="2" fillId="0" borderId="0"/>
    <xf numFmtId="0" fontId="2" fillId="0" borderId="0"/>
    <xf numFmtId="43" fontId="2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2"/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left"/>
    </xf>
    <xf numFmtId="0" fontId="7" fillId="0" borderId="0" pivotButton="0" quotePrefix="0" xfId="2"/>
    <xf numFmtId="0" fontId="6" fillId="0" borderId="0" applyAlignment="1" pivotButton="0" quotePrefix="0" xfId="1">
      <alignment horizontal="left" vertical="center"/>
    </xf>
    <xf numFmtId="1" fontId="6" fillId="0" borderId="0" applyAlignment="1" pivotButton="0" quotePrefix="0" xfId="1">
      <alignment horizontal="center"/>
    </xf>
    <xf numFmtId="43" fontId="6" fillId="0" borderId="0" applyAlignment="1" pivotButton="0" quotePrefix="0" xfId="3">
      <alignment vertical="center"/>
    </xf>
    <xf numFmtId="0" fontId="6" fillId="0" borderId="0" applyAlignment="1" pivotButton="0" quotePrefix="0" xfId="1">
      <alignment vertical="center"/>
    </xf>
    <xf numFmtId="0" fontId="9" fillId="0" borderId="1" applyAlignment="1" pivotButton="0" quotePrefix="0" xfId="0">
      <alignment vertical="center" wrapText="1"/>
    </xf>
    <xf numFmtId="0" fontId="12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2">
      <alignment horizontal="right"/>
    </xf>
    <xf numFmtId="0" fontId="6" fillId="2" borderId="0" pivotButton="0" quotePrefix="0" xfId="2"/>
    <xf numFmtId="0" fontId="14" fillId="0" borderId="0" pivotButton="0" quotePrefix="0" xfId="0"/>
    <xf numFmtId="0" fontId="16" fillId="3" borderId="1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/>
    </xf>
    <xf numFmtId="164" fontId="6" fillId="0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/>
    </xf>
    <xf numFmtId="165" fontId="5" fillId="0" borderId="1" applyAlignment="1" applyProtection="1" pivotButton="0" quotePrefix="0" xfId="1">
      <alignment horizontal="left" vertical="center" indent="1"/>
      <protection locked="1" hidden="1"/>
    </xf>
    <xf numFmtId="0" fontId="4" fillId="0" borderId="1" applyAlignment="1" pivotButton="0" quotePrefix="0" xfId="1">
      <alignment horizontal="left" vertical="center" indent="1"/>
    </xf>
    <xf numFmtId="0" fontId="5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/>
    </xf>
    <xf numFmtId="0" fontId="3" fillId="0" borderId="1" applyAlignment="1" pivotButton="0" quotePrefix="0" xfId="1">
      <alignment horizontal="left" vertical="center"/>
    </xf>
    <xf numFmtId="49" fontId="5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left" vertical="center" wrapText="1" indent="4"/>
    </xf>
    <xf numFmtId="0" fontId="15" fillId="0" borderId="2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164" fontId="1" fillId="0" borderId="1" applyAlignment="1" pivotButton="0" quotePrefix="0" xfId="1">
      <alignment horizontal="center" vertical="center" wrapText="1"/>
    </xf>
    <xf numFmtId="14" fontId="1" fillId="0" borderId="1" applyAlignment="1" pivotButton="0" quotePrefix="0" xfId="1">
      <alignment horizontal="center" vertical="center" wrapText="1"/>
    </xf>
    <xf numFmtId="165" fontId="1" fillId="0" borderId="1" applyAlignment="1" pivotButton="0" quotePrefix="0" xfId="1">
      <alignment horizontal="center" vertical="center" wrapText="1"/>
    </xf>
    <xf numFmtId="0" fontId="8" fillId="4" borderId="1" applyAlignment="1" pivotButton="0" quotePrefix="0" xfId="1">
      <alignment horizontal="center" vertical="center"/>
    </xf>
    <xf numFmtId="0" fontId="8" fillId="4" borderId="1" applyAlignment="1" pivotButton="0" quotePrefix="0" xfId="1">
      <alignment horizontal="center" vertical="center" wrapText="1"/>
    </xf>
    <xf numFmtId="164" fontId="8" fillId="4" borderId="1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43" fontId="6" fillId="0" borderId="0" applyAlignment="1" pivotButton="0" quotePrefix="0" xfId="3">
      <alignment vertical="center"/>
    </xf>
    <xf numFmtId="0" fontId="0" fillId="0" borderId="11" pivotButton="0" quotePrefix="0" xfId="0"/>
    <xf numFmtId="0" fontId="0" fillId="0" borderId="12" pivotButton="0" quotePrefix="0" xfId="0"/>
    <xf numFmtId="0" fontId="17" fillId="0" borderId="0" applyAlignment="1" pivotButton="0" quotePrefix="0" xfId="0">
      <alignment vertical="center" wrapText="1"/>
    </xf>
    <xf numFmtId="0" fontId="18" fillId="5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3" pivotButton="0" quotePrefix="0" xfId="0"/>
    <xf numFmtId="0" fontId="19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</cellXfs>
  <cellStyles count="4">
    <cellStyle name="Normal" xfId="0" builtinId="0"/>
    <cellStyle name="Normal 6" xfId="1"/>
    <cellStyle name="Normal 3 2" xfId="2"/>
    <cellStyle name="Millares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154215</colOff>
      <row>1</row>
      <rowOff>147735</rowOff>
    </from>
    <to>
      <col>23</col>
      <colOff>508000</colOff>
      <row>4</row>
      <rowOff>18144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311072" y="466531"/>
          <a:ext cx="2530928" cy="826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99786</colOff>
      <row>0</row>
      <rowOff>117927</rowOff>
    </from>
    <to>
      <col>12</col>
      <colOff>27213</colOff>
      <row>4</row>
      <rowOff>234424</rowOff>
    </to>
    <pic>
      <nvPicPr>
        <cNvPr id="4" name="Imagen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26572" y="117927"/>
          <a:ext cx="2422070" cy="138649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129035</colOff>
      <row>1</row>
      <rowOff>247887</rowOff>
    </from>
    <to>
      <col>1</col>
      <colOff>1995502</colOff>
      <row>3</row>
      <rowOff>246530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265623" y="613946"/>
          <a:ext cx="1866467" cy="73076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119531</colOff>
      <row>1</row>
      <rowOff>141942</rowOff>
    </from>
    <to>
      <col>0</col>
      <colOff>1972237</colOff>
      <row>3</row>
      <rowOff>343648</rowOff>
    </to>
    <pic>
      <nvPicPr>
        <cNvPr id="3" name="Imagen 2"/>
        <cNvPicPr>
          <a:picLocks noChangeAspect="1"/>
        </cNvPicPr>
      </nvPicPr>
      <blipFill rotWithShape="1">
        <a:blip r:embed="rId2"/>
        <a:srcRect l="4540" t="12476" r="4665" b="12920"/>
        <a:stretch>
          <a:fillRect/>
        </a:stretch>
      </blipFill>
      <spPr>
        <a:xfrm>
          <a:off x="119531" y="508001"/>
          <a:ext cx="1852706" cy="93382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CD54"/>
  <sheetViews>
    <sheetView showGridLines="0" tabSelected="1" view="pageBreakPreview" zoomScale="70" zoomScaleNormal="25" zoomScaleSheetLayoutView="70" workbookViewId="0">
      <selection activeCell="BL12" sqref="BL12"/>
    </sheetView>
  </sheetViews>
  <sheetFormatPr baseColWidth="10" defaultColWidth="3.15234375" defaultRowHeight="12" customHeight="1"/>
  <cols>
    <col width="3.15234375" customWidth="1" style="3" min="1" max="22"/>
    <col width="5.23046875" customWidth="1" style="3" min="23" max="23"/>
    <col width="8.84375" customWidth="1" style="3" min="24" max="24"/>
    <col width="3.15234375" customWidth="1" style="3" min="25" max="48"/>
    <col width="3.15234375" customWidth="1" style="6" min="49" max="53"/>
    <col width="3.15234375" customWidth="1" style="3" min="54" max="79"/>
    <col width="54.4609375" customWidth="1" style="3" min="80" max="80"/>
    <col width="28.69140625" customWidth="1" style="3" min="81" max="81"/>
    <col width="3.15234375" customWidth="1" style="3" min="82" max="16384"/>
  </cols>
  <sheetData>
    <row r="1" ht="25" customFormat="1" customHeight="1" s="2">
      <c r="A1" s="29" t="n"/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  <c r="N1" s="30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5" t="n"/>
      <c r="Z1" s="27" t="inlineStr">
        <is>
          <t>DISEÑO DE INGENIERÍA</t>
        </is>
      </c>
      <c r="AA1" s="44" t="n"/>
      <c r="AB1" s="44" t="n"/>
      <c r="AC1" s="44" t="n"/>
      <c r="AD1" s="44" t="n"/>
      <c r="AE1" s="44" t="n"/>
      <c r="AF1" s="44" t="n"/>
      <c r="AG1" s="44" t="n"/>
      <c r="AH1" s="44" t="n"/>
      <c r="AI1" s="44" t="n"/>
      <c r="AJ1" s="44" t="n"/>
      <c r="AK1" s="44" t="n"/>
      <c r="AL1" s="44" t="n"/>
      <c r="AM1" s="44" t="n"/>
      <c r="AN1" s="44" t="n"/>
      <c r="AO1" s="44" t="n"/>
      <c r="AP1" s="44" t="n"/>
      <c r="AQ1" s="44" t="n"/>
      <c r="AR1" s="44" t="n"/>
      <c r="AS1" s="44" t="n"/>
      <c r="AT1" s="44" t="n"/>
      <c r="AU1" s="44" t="n"/>
      <c r="AV1" s="44" t="n"/>
      <c r="AW1" s="44" t="n"/>
      <c r="AX1" s="44" t="n"/>
      <c r="AY1" s="44" t="n"/>
      <c r="AZ1" s="44" t="n"/>
      <c r="BA1" s="44" t="n"/>
      <c r="BB1" s="45" t="n"/>
      <c r="BC1" s="26" t="inlineStr">
        <is>
          <t>CODIGO:</t>
        </is>
      </c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7" t="n"/>
      <c r="BO1" s="25" t="inlineStr">
        <is>
          <t>P2437-HV-DTS-001</t>
        </is>
      </c>
      <c r="BP1" s="48" t="n"/>
      <c r="BQ1" s="48" t="n"/>
      <c r="BR1" s="48" t="n"/>
      <c r="BS1" s="48" t="n"/>
      <c r="BT1" s="48" t="n"/>
      <c r="BU1" s="48" t="n"/>
      <c r="BV1" s="48" t="n"/>
      <c r="BW1" s="48" t="n"/>
      <c r="BX1" s="48" t="n"/>
      <c r="BY1" s="48" t="n"/>
      <c r="BZ1" s="49" t="n"/>
      <c r="CB1" s="15" t="inlineStr">
        <is>
          <t>REVIZADO</t>
        </is>
      </c>
      <c r="CC1" s="16" t="inlineStr">
        <is>
          <t>JULIO 23 DEL 2026</t>
        </is>
      </c>
    </row>
    <row r="2" ht="25" customFormat="1" customHeight="1" s="2">
      <c r="A2" s="50" t="n"/>
      <c r="M2" s="51" t="n"/>
      <c r="N2" s="50" t="n"/>
      <c r="Y2" s="51" t="n"/>
      <c r="Z2" s="52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4" t="n"/>
      <c r="BC2" s="26" t="inlineStr">
        <is>
          <t>REVISION:</t>
        </is>
      </c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7" t="n"/>
      <c r="BO2" s="25" t="inlineStr">
        <is>
          <t>CERO (0)</t>
        </is>
      </c>
      <c r="BP2" s="48" t="n"/>
      <c r="BQ2" s="48" t="n"/>
      <c r="BR2" s="48" t="n"/>
      <c r="BS2" s="48" t="n"/>
      <c r="BT2" s="48" t="n"/>
      <c r="BU2" s="48" t="n"/>
      <c r="BV2" s="48" t="n"/>
      <c r="BW2" s="48" t="n"/>
      <c r="BX2" s="48" t="n"/>
      <c r="BY2" s="48" t="n"/>
      <c r="BZ2" s="49" t="n"/>
      <c r="CB2" s="15" t="inlineStr">
        <is>
          <t>APROBADO</t>
        </is>
      </c>
      <c r="CC2" s="16" t="inlineStr">
        <is>
          <t>JULIO 24 DEL 2026</t>
        </is>
      </c>
    </row>
    <row r="3" ht="25" customFormat="1" customHeight="1" s="2">
      <c r="A3" s="50" t="n"/>
      <c r="M3" s="51" t="n"/>
      <c r="N3" s="50" t="n"/>
      <c r="Y3" s="51" t="n"/>
      <c r="Z3" s="27" t="inlineStr">
        <is>
          <t>SISTEMA HVAC LABORATORIO BRINSA</t>
        </is>
      </c>
      <c r="AA3" s="44" t="n"/>
      <c r="AB3" s="44" t="n"/>
      <c r="AC3" s="44" t="n"/>
      <c r="AD3" s="44" t="n"/>
      <c r="AE3" s="44" t="n"/>
      <c r="AF3" s="44" t="n"/>
      <c r="AG3" s="44" t="n"/>
      <c r="AH3" s="44" t="n"/>
      <c r="AI3" s="44" t="n"/>
      <c r="AJ3" s="44" t="n"/>
      <c r="AK3" s="44" t="n"/>
      <c r="AL3" s="44" t="n"/>
      <c r="AM3" s="44" t="n"/>
      <c r="AN3" s="44" t="n"/>
      <c r="AO3" s="44" t="n"/>
      <c r="AP3" s="44" t="n"/>
      <c r="AQ3" s="44" t="n"/>
      <c r="AR3" s="44" t="n"/>
      <c r="AS3" s="44" t="n"/>
      <c r="AT3" s="44" t="n"/>
      <c r="AU3" s="44" t="n"/>
      <c r="AV3" s="44" t="n"/>
      <c r="AW3" s="44" t="n"/>
      <c r="AX3" s="44" t="n"/>
      <c r="AY3" s="44" t="n"/>
      <c r="AZ3" s="44" t="n"/>
      <c r="BA3" s="44" t="n"/>
      <c r="BB3" s="45" t="n"/>
      <c r="BC3" s="26" t="inlineStr">
        <is>
          <t>FECHA:</t>
        </is>
      </c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7" t="n"/>
      <c r="BO3" s="25" t="inlineStr">
        <is>
          <t>JULIO 23 DEL 2026</t>
        </is>
      </c>
      <c r="BP3" s="48" t="n"/>
      <c r="BQ3" s="48" t="n"/>
      <c r="BR3" s="48" t="n"/>
      <c r="BS3" s="48" t="n"/>
      <c r="BT3" s="48" t="n"/>
      <c r="BU3" s="48" t="n"/>
      <c r="BV3" s="48" t="n"/>
      <c r="BW3" s="48" t="n"/>
      <c r="BX3" s="48" t="n"/>
      <c r="BY3" s="48" t="n"/>
      <c r="BZ3" s="49" t="n"/>
    </row>
    <row r="4" ht="25" customFormat="1" customHeight="1" s="2">
      <c r="A4" s="50" t="n"/>
      <c r="M4" s="51" t="n"/>
      <c r="N4" s="50" t="n"/>
      <c r="Y4" s="51" t="n"/>
      <c r="Z4" s="52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4" t="n"/>
      <c r="BC4" s="26" t="inlineStr">
        <is>
          <t>ELABORO:</t>
        </is>
      </c>
      <c r="BD4" s="46" t="n"/>
      <c r="BE4" s="46" t="n"/>
      <c r="BF4" s="46" t="n"/>
      <c r="BG4" s="46" t="n"/>
      <c r="BH4" s="46" t="n"/>
      <c r="BI4" s="46" t="n"/>
      <c r="BJ4" s="46" t="n"/>
      <c r="BK4" s="46" t="n"/>
      <c r="BL4" s="46" t="n"/>
      <c r="BM4" s="46" t="n"/>
      <c r="BN4" s="47" t="n"/>
      <c r="BO4" s="25" t="inlineStr">
        <is>
          <t>J.ARBOLEDA</t>
        </is>
      </c>
      <c r="BP4" s="48" t="n"/>
      <c r="BQ4" s="48" t="n"/>
      <c r="BR4" s="48" t="n"/>
      <c r="BS4" s="48" t="n"/>
      <c r="BT4" s="48" t="n"/>
      <c r="BU4" s="48" t="n"/>
      <c r="BV4" s="48" t="n"/>
      <c r="BW4" s="48" t="n"/>
      <c r="BX4" s="48" t="n"/>
      <c r="BY4" s="48" t="n"/>
      <c r="BZ4" s="49" t="n"/>
    </row>
    <row r="5" ht="25" customFormat="1" customHeight="1" s="2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4" t="n"/>
      <c r="N5" s="52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4" t="n"/>
      <c r="Z5" s="31" t="inlineStr">
        <is>
          <t>HOJA DE DATOS Y ESPECIFICACIONES TÉCNICAS DEL VENTILADOR CENTRÍFUGO PRFV</t>
        </is>
      </c>
      <c r="AA5" s="44" t="n"/>
      <c r="AB5" s="44" t="n"/>
      <c r="AC5" s="44" t="n"/>
      <c r="AD5" s="44" t="n"/>
      <c r="AE5" s="44" t="n"/>
      <c r="AF5" s="44" t="n"/>
      <c r="AG5" s="44" t="n"/>
      <c r="AH5" s="44" t="n"/>
      <c r="AI5" s="44" t="n"/>
      <c r="AJ5" s="44" t="n"/>
      <c r="AK5" s="44" t="n"/>
      <c r="AL5" s="44" t="n"/>
      <c r="AM5" s="44" t="n"/>
      <c r="AN5" s="44" t="n"/>
      <c r="AO5" s="44" t="n"/>
      <c r="AP5" s="44" t="n"/>
      <c r="AQ5" s="44" t="n"/>
      <c r="AR5" s="44" t="n"/>
      <c r="AS5" s="44" t="n"/>
      <c r="AT5" s="44" t="n"/>
      <c r="AU5" s="44" t="n"/>
      <c r="AV5" s="44" t="n"/>
      <c r="AW5" s="44" t="n"/>
      <c r="AX5" s="44" t="n"/>
      <c r="AY5" s="44" t="n"/>
      <c r="AZ5" s="44" t="n"/>
      <c r="BA5" s="44" t="n"/>
      <c r="BB5" s="45" t="n"/>
      <c r="BC5" s="26" t="inlineStr">
        <is>
          <t>REVISO:</t>
        </is>
      </c>
      <c r="BD5" s="46" t="n"/>
      <c r="BE5" s="46" t="n"/>
      <c r="BF5" s="46" t="n"/>
      <c r="BG5" s="46" t="n"/>
      <c r="BH5" s="46" t="n"/>
      <c r="BI5" s="46" t="n"/>
      <c r="BJ5" s="46" t="n"/>
      <c r="BK5" s="46" t="n"/>
      <c r="BL5" s="46" t="n"/>
      <c r="BM5" s="46" t="n"/>
      <c r="BN5" s="47" t="n"/>
      <c r="BO5" s="25" t="inlineStr">
        <is>
          <t>F.NAVIA</t>
        </is>
      </c>
      <c r="BP5" s="48" t="n"/>
      <c r="BQ5" s="48" t="n"/>
      <c r="BR5" s="48" t="n"/>
      <c r="BS5" s="48" t="n"/>
      <c r="BT5" s="48" t="n"/>
      <c r="BU5" s="48" t="n"/>
      <c r="BV5" s="48" t="n"/>
      <c r="BW5" s="48" t="n"/>
      <c r="BX5" s="48" t="n"/>
      <c r="BY5" s="48" t="n"/>
      <c r="BZ5" s="49" t="n"/>
    </row>
    <row r="6" ht="25" customFormat="1" customHeight="1" s="2">
      <c r="A6" s="28" t="inlineStr">
        <is>
          <t>PROYECTO</t>
        </is>
      </c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7" t="n"/>
      <c r="N6" s="28" t="inlineStr">
        <is>
          <t>P2437</t>
        </is>
      </c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7" t="n"/>
      <c r="Z6" s="52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4" t="n"/>
      <c r="BC6" s="26" t="inlineStr">
        <is>
          <t>APROBO:</t>
        </is>
      </c>
      <c r="BD6" s="46" t="n"/>
      <c r="BE6" s="46" t="n"/>
      <c r="BF6" s="46" t="n"/>
      <c r="BG6" s="46" t="n"/>
      <c r="BH6" s="46" t="n"/>
      <c r="BI6" s="46" t="n"/>
      <c r="BJ6" s="46" t="n"/>
      <c r="BK6" s="46" t="n"/>
      <c r="BL6" s="46" t="n"/>
      <c r="BM6" s="46" t="n"/>
      <c r="BN6" s="47" t="n"/>
      <c r="BO6" s="25" t="inlineStr">
        <is>
          <t>H.ROSERO</t>
        </is>
      </c>
      <c r="BP6" s="48" t="n"/>
      <c r="BQ6" s="48" t="n"/>
      <c r="BR6" s="48" t="n"/>
      <c r="BS6" s="48" t="n"/>
      <c r="BT6" s="48" t="n"/>
      <c r="BU6" s="48" t="n"/>
      <c r="BV6" s="48" t="n"/>
      <c r="BW6" s="48" t="n"/>
      <c r="BX6" s="48" t="n"/>
      <c r="BY6" s="48" t="n"/>
      <c r="BZ6" s="49" t="n"/>
    </row>
    <row r="7" ht="15" customHeight="1"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5" t="n"/>
      <c r="AD7" s="21" t="n"/>
      <c r="AE7" s="21" t="n"/>
      <c r="AF7" s="21" t="n"/>
      <c r="CD7" s="7" t="n"/>
    </row>
    <row r="8" ht="15" customHeight="1"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5" t="n"/>
      <c r="AD8" s="21" t="n"/>
      <c r="AE8" s="21" t="n"/>
      <c r="AF8" s="21" t="n"/>
      <c r="CD8" s="7" t="n"/>
    </row>
    <row r="9" ht="15" customHeight="1"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5" t="n"/>
      <c r="AD9" s="21" t="n"/>
      <c r="AE9" s="21" t="n"/>
      <c r="AF9" s="21" t="n"/>
      <c r="CD9" s="7" t="n"/>
    </row>
    <row r="10" ht="15" customHeight="1"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5" t="n"/>
      <c r="AD10" s="21" t="n"/>
      <c r="AE10" s="21" t="n"/>
      <c r="AF10" s="21" t="n"/>
      <c r="CD10" s="7" t="n"/>
    </row>
    <row r="11" ht="15" customHeight="1"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5" t="n"/>
      <c r="AD11" s="21" t="n"/>
      <c r="AE11" s="21" t="n"/>
      <c r="AF11" s="21" t="n"/>
      <c r="CD11" s="7" t="n"/>
    </row>
    <row r="12" ht="15" customHeight="1"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5" t="n"/>
      <c r="AD12" s="21" t="n"/>
      <c r="AE12" s="21" t="n"/>
      <c r="AF12" s="21" t="n"/>
      <c r="CD12" s="7" t="n"/>
    </row>
    <row r="13" ht="15" customHeight="1"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5" t="n"/>
      <c r="AD13" s="21" t="n"/>
      <c r="AE13" s="21" t="n"/>
      <c r="AF13" s="21" t="n"/>
      <c r="CD13" s="7" t="n"/>
    </row>
    <row r="14" ht="15" customHeight="1"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5" t="n"/>
      <c r="AD14" s="21" t="n"/>
      <c r="AE14" s="21" t="n"/>
      <c r="AF14" s="21" t="n"/>
      <c r="CD14" s="7" t="n"/>
    </row>
    <row r="15" ht="15" customHeight="1"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5" t="n"/>
      <c r="AD15" s="21" t="n"/>
      <c r="AE15" s="21" t="n"/>
      <c r="AF15" s="21" t="n"/>
      <c r="CD15" s="7" t="n"/>
    </row>
    <row r="16" ht="15" customHeight="1"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5" t="n"/>
      <c r="AD16" s="21" t="n"/>
      <c r="AE16" s="21" t="n"/>
      <c r="AF16" s="21" t="n"/>
      <c r="CD16" s="7" t="n"/>
    </row>
    <row r="17" ht="15" customHeight="1"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5" t="n"/>
      <c r="AD17" s="21" t="n"/>
      <c r="AE17" s="21" t="n"/>
      <c r="AF17" s="21" t="n"/>
      <c r="CD17" s="7" t="n"/>
    </row>
    <row r="18" ht="15" customHeight="1"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5" t="n"/>
      <c r="AD18" s="21" t="n"/>
      <c r="AE18" s="21" t="n"/>
      <c r="AF18" s="21" t="n"/>
      <c r="CD18" s="7" t="n"/>
    </row>
    <row r="19" ht="15" customHeight="1"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5" t="n"/>
      <c r="AD19" s="21" t="n"/>
      <c r="AE19" s="21" t="n"/>
      <c r="AF19" s="21" t="n"/>
      <c r="CD19" s="7" t="n"/>
    </row>
    <row r="20" ht="15" customHeight="1"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5" t="n"/>
      <c r="AD20" s="21" t="n"/>
      <c r="AE20" s="21" t="n"/>
      <c r="AF20" s="21" t="n"/>
      <c r="CD20" s="7" t="n"/>
    </row>
    <row r="21" ht="15" customHeight="1"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41" t="inlineStr">
        <is>
          <t>Elaborado por:</t>
        </is>
      </c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5" t="n"/>
      <c r="AF21" s="41" t="inlineStr">
        <is>
          <t>Revisado por:</t>
        </is>
      </c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  <c r="AQ21" s="44" t="n"/>
      <c r="AR21" s="44" t="n"/>
      <c r="AS21" s="45" t="n"/>
      <c r="AT21" s="41" t="inlineStr">
        <is>
          <t>Aprobado por:</t>
        </is>
      </c>
      <c r="AU21" s="44" t="n"/>
      <c r="AV21" s="44" t="n"/>
      <c r="AW21" s="44" t="n"/>
      <c r="AX21" s="44" t="n"/>
      <c r="AY21" s="44" t="n"/>
      <c r="AZ21" s="44" t="n"/>
      <c r="BA21" s="44" t="n"/>
      <c r="BB21" s="44" t="n"/>
      <c r="BC21" s="44" t="n"/>
      <c r="BD21" s="44" t="n"/>
      <c r="BE21" s="44" t="n"/>
      <c r="BF21" s="44" t="n"/>
      <c r="BG21" s="45" t="n"/>
    </row>
    <row r="22" ht="15" customHeight="1"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50" t="n"/>
      <c r="AE22" s="51" t="n"/>
      <c r="AF22" s="50" t="n"/>
      <c r="AS22" s="51" t="n"/>
      <c r="AT22" s="50" t="n"/>
      <c r="BG22" s="51" t="n"/>
    </row>
    <row r="23" ht="15" customHeight="1"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52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4" t="n"/>
      <c r="AF23" s="52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4" t="n"/>
      <c r="AT23" s="52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4" t="n"/>
    </row>
    <row r="24" ht="15" customHeight="1"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3" t="inlineStr">
        <is>
          <t>J.ARBOLEDA</t>
        </is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5" t="n"/>
      <c r="AF24" s="2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  <c r="AQ24" s="44" t="n"/>
      <c r="AR24" s="44" t="n"/>
      <c r="AS24" s="45" t="n"/>
      <c r="AT24" s="24" t="n"/>
      <c r="AU24" s="44" t="n"/>
      <c r="AV24" s="44" t="n"/>
      <c r="AW24" s="44" t="n"/>
      <c r="AX24" s="44" t="n"/>
      <c r="AY24" s="44" t="n"/>
      <c r="AZ24" s="44" t="n"/>
      <c r="BA24" s="44" t="n"/>
      <c r="BB24" s="44" t="n"/>
      <c r="BC24" s="44" t="n"/>
      <c r="BD24" s="44" t="n"/>
      <c r="BE24" s="44" t="n"/>
      <c r="BF24" s="44" t="n"/>
      <c r="BG24" s="45" t="n"/>
    </row>
    <row r="25" ht="15" customHeight="1"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50" t="n"/>
      <c r="AE25" s="51" t="n"/>
      <c r="AF25" s="50" t="n"/>
      <c r="AS25" s="51" t="n"/>
      <c r="AT25" s="50" t="n"/>
      <c r="BG25" s="51" t="n"/>
    </row>
    <row r="26" ht="15" customHeight="1"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52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4" t="n"/>
      <c r="AF26" s="52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4" t="n"/>
      <c r="AT26" s="52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4" t="n"/>
    </row>
    <row r="27" ht="15" customHeight="1"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4">
        <f>"Fecha :"&amp;BO3</f>
        <v/>
      </c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  <c r="AE27" s="45" t="n"/>
      <c r="AF27" s="24">
        <f>"Fecha :"&amp;CC1</f>
        <v/>
      </c>
      <c r="AG27" s="44" t="n"/>
      <c r="AH27" s="44" t="n"/>
      <c r="AI27" s="44" t="n"/>
      <c r="AJ27" s="44" t="n"/>
      <c r="AK27" s="44" t="n"/>
      <c r="AL27" s="44" t="n"/>
      <c r="AM27" s="44" t="n"/>
      <c r="AN27" s="44" t="n"/>
      <c r="AO27" s="44" t="n"/>
      <c r="AP27" s="44" t="n"/>
      <c r="AQ27" s="44" t="n"/>
      <c r="AR27" s="44" t="n"/>
      <c r="AS27" s="45" t="n"/>
      <c r="AT27" s="24">
        <f>"Fecha :"&amp;CC2</f>
        <v/>
      </c>
      <c r="AU27" s="44" t="n"/>
      <c r="AV27" s="44" t="n"/>
      <c r="AW27" s="44" t="n"/>
      <c r="AX27" s="44" t="n"/>
      <c r="AY27" s="44" t="n"/>
      <c r="AZ27" s="44" t="n"/>
      <c r="BA27" s="44" t="n"/>
      <c r="BB27" s="44" t="n"/>
      <c r="BC27" s="44" t="n"/>
      <c r="BD27" s="44" t="n"/>
      <c r="BE27" s="44" t="n"/>
      <c r="BF27" s="44" t="n"/>
      <c r="BG27" s="45" t="n"/>
    </row>
    <row r="28" ht="15" customHeight="1"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50" t="n"/>
      <c r="AE28" s="51" t="n"/>
      <c r="AF28" s="50" t="n"/>
      <c r="AS28" s="51" t="n"/>
      <c r="AT28" s="50" t="n"/>
      <c r="BG28" s="51" t="n"/>
    </row>
    <row r="29" ht="15" customHeight="1"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52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4" t="n"/>
      <c r="AF29" s="52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4" t="n"/>
      <c r="AT29" s="52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4" t="n"/>
    </row>
    <row r="30" ht="15" customHeight="1"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5" t="n"/>
      <c r="AD30" s="21" t="n"/>
      <c r="AE30" s="21" t="n"/>
      <c r="AF30" s="21" t="n"/>
    </row>
    <row r="31" ht="15" customHeight="1"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5" t="n"/>
      <c r="AD31" s="21" t="n"/>
      <c r="AE31" s="21" t="n"/>
      <c r="AF31" s="21" t="n"/>
    </row>
    <row r="32" ht="15" customHeight="1"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5" t="n"/>
      <c r="AD32" s="21" t="n"/>
      <c r="AE32" s="21" t="n"/>
      <c r="AF32" s="21" t="n"/>
    </row>
    <row r="33" ht="15" customHeight="1"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5" t="n"/>
      <c r="AD33" s="21" t="n"/>
      <c r="AE33" s="21" t="n"/>
      <c r="AF33" s="21" t="n"/>
    </row>
    <row r="34" ht="15" customHeight="1"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5" t="n"/>
      <c r="AD34" s="21" t="n"/>
      <c r="AE34" s="21" t="n"/>
      <c r="AF34" s="21" t="n"/>
    </row>
    <row r="35" ht="15" customHeight="1"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5" t="n"/>
      <c r="AD35" s="21" t="n"/>
      <c r="AE35" s="21" t="n"/>
      <c r="AF35" s="21" t="n"/>
    </row>
    <row r="36" ht="15" customHeight="1"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5" t="n"/>
      <c r="AD36" s="21" t="n"/>
      <c r="AE36" s="21" t="n"/>
      <c r="AF36" s="21" t="n"/>
      <c r="BK36" s="21" t="n"/>
    </row>
    <row r="37" ht="15" customHeight="1"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5" t="n"/>
      <c r="AD37" s="21" t="n"/>
      <c r="AE37" s="21" t="n"/>
      <c r="AF37" s="21" t="n"/>
    </row>
    <row r="38" ht="15" customHeight="1"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5" t="n"/>
      <c r="AD38" s="21" t="n"/>
      <c r="AE38" s="21" t="n"/>
      <c r="AF38" s="21" t="n"/>
    </row>
    <row r="39" ht="15" customHeight="1">
      <c r="G39" s="21" t="n"/>
      <c r="H39" s="21" t="n"/>
      <c r="I39" s="21" t="n"/>
      <c r="J39" s="21" t="n"/>
      <c r="K39" s="21" t="n"/>
      <c r="L39" s="21" t="n"/>
      <c r="M39" s="21" t="n"/>
      <c r="N39" s="21" t="n"/>
      <c r="O39" s="42" t="inlineStr">
        <is>
          <t>Versión</t>
        </is>
      </c>
      <c r="P39" s="44" t="n"/>
      <c r="Q39" s="44" t="n"/>
      <c r="R39" s="44" t="n"/>
      <c r="S39" s="44" t="n"/>
      <c r="T39" s="44" t="n"/>
      <c r="U39" s="45" t="n"/>
      <c r="V39" s="42" t="inlineStr">
        <is>
          <t>Autor</t>
        </is>
      </c>
      <c r="W39" s="44" t="n"/>
      <c r="X39" s="44" t="n"/>
      <c r="Y39" s="44" t="n"/>
      <c r="Z39" s="44" t="n"/>
      <c r="AA39" s="44" t="n"/>
      <c r="AB39" s="45" t="n"/>
      <c r="AC39" s="43" t="inlineStr">
        <is>
          <t>Descripción</t>
        </is>
      </c>
      <c r="AD39" s="44" t="n"/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5" t="n"/>
      <c r="AP39" s="42" t="inlineStr">
        <is>
          <t>Fecha de elaboración</t>
        </is>
      </c>
      <c r="AQ39" s="44" t="n"/>
      <c r="AR39" s="44" t="n"/>
      <c r="AS39" s="44" t="n"/>
      <c r="AT39" s="44" t="n"/>
      <c r="AU39" s="44" t="n"/>
      <c r="AV39" s="45" t="n"/>
      <c r="AW39" s="42" t="inlineStr">
        <is>
          <t>Fecha de revisión</t>
        </is>
      </c>
      <c r="AX39" s="44" t="n"/>
      <c r="AY39" s="44" t="n"/>
      <c r="AZ39" s="44" t="n"/>
      <c r="BA39" s="44" t="n"/>
      <c r="BB39" s="44" t="n"/>
      <c r="BC39" s="45" t="n"/>
      <c r="BD39" s="42" t="inlineStr">
        <is>
          <t>Revisado por</t>
        </is>
      </c>
      <c r="BE39" s="44" t="n"/>
      <c r="BF39" s="44" t="n"/>
      <c r="BG39" s="44" t="n"/>
      <c r="BH39" s="44" t="n"/>
      <c r="BI39" s="44" t="n"/>
      <c r="BJ39" s="45" t="n"/>
    </row>
    <row r="40" ht="15" customHeight="1">
      <c r="G40" s="21" t="n"/>
      <c r="H40" s="21" t="n"/>
      <c r="I40" s="21" t="n"/>
      <c r="J40" s="21" t="n"/>
      <c r="K40" s="21" t="n"/>
      <c r="L40" s="21" t="n"/>
      <c r="M40" s="21" t="n"/>
      <c r="N40" s="21" t="n"/>
      <c r="O40" s="50" t="n"/>
      <c r="U40" s="51" t="n"/>
      <c r="V40" s="50" t="n"/>
      <c r="AB40" s="51" t="n"/>
      <c r="AC40" s="50" t="n"/>
      <c r="AO40" s="51" t="n"/>
      <c r="AP40" s="50" t="n"/>
      <c r="AV40" s="51" t="n"/>
      <c r="AW40" s="50" t="n"/>
      <c r="BC40" s="51" t="n"/>
      <c r="BD40" s="50" t="n"/>
      <c r="BJ40" s="51" t="n"/>
    </row>
    <row r="41" ht="15" customHeight="1">
      <c r="G41" s="21" t="n"/>
      <c r="H41" s="21" t="n"/>
      <c r="I41" s="21" t="n"/>
      <c r="J41" s="21" t="n"/>
      <c r="K41" s="21" t="n"/>
      <c r="L41" s="21" t="n"/>
      <c r="M41" s="21" t="n"/>
      <c r="N41" s="21" t="n"/>
      <c r="O41" s="52" t="n"/>
      <c r="P41" s="53" t="n"/>
      <c r="Q41" s="53" t="n"/>
      <c r="R41" s="53" t="n"/>
      <c r="S41" s="53" t="n"/>
      <c r="T41" s="53" t="n"/>
      <c r="U41" s="54" t="n"/>
      <c r="V41" s="52" t="n"/>
      <c r="W41" s="53" t="n"/>
      <c r="X41" s="53" t="n"/>
      <c r="Y41" s="53" t="n"/>
      <c r="Z41" s="53" t="n"/>
      <c r="AA41" s="53" t="n"/>
      <c r="AB41" s="54" t="n"/>
      <c r="AC41" s="52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4" t="n"/>
      <c r="AP41" s="52" t="n"/>
      <c r="AQ41" s="53" t="n"/>
      <c r="AR41" s="53" t="n"/>
      <c r="AS41" s="53" t="n"/>
      <c r="AT41" s="53" t="n"/>
      <c r="AU41" s="53" t="n"/>
      <c r="AV41" s="54" t="n"/>
      <c r="AW41" s="52" t="n"/>
      <c r="AX41" s="53" t="n"/>
      <c r="AY41" s="53" t="n"/>
      <c r="AZ41" s="53" t="n"/>
      <c r="BA41" s="53" t="n"/>
      <c r="BB41" s="53" t="n"/>
      <c r="BC41" s="54" t="n"/>
      <c r="BD41" s="52" t="n"/>
      <c r="BE41" s="53" t="n"/>
      <c r="BF41" s="53" t="n"/>
      <c r="BG41" s="53" t="n"/>
      <c r="BH41" s="53" t="n"/>
      <c r="BI41" s="53" t="n"/>
      <c r="BJ41" s="54" t="n"/>
    </row>
    <row r="42" ht="15" customHeight="1">
      <c r="G42" s="21" t="n"/>
      <c r="H42" s="21" t="n"/>
      <c r="I42" s="21" t="n"/>
      <c r="J42" s="21" t="n"/>
      <c r="K42" s="21" t="n"/>
      <c r="L42" s="21" t="n"/>
      <c r="M42" s="21" t="n"/>
      <c r="N42" s="21" t="n"/>
      <c r="O42" s="37" t="inlineStr">
        <is>
          <t>CERO (0)</t>
        </is>
      </c>
      <c r="P42" s="44" t="n"/>
      <c r="Q42" s="44" t="n"/>
      <c r="R42" s="44" t="n"/>
      <c r="S42" s="44" t="n"/>
      <c r="T42" s="44" t="n"/>
      <c r="U42" s="45" t="n"/>
      <c r="V42" s="37" t="inlineStr">
        <is>
          <t>J.ARBOLEDA</t>
        </is>
      </c>
      <c r="W42" s="44" t="n"/>
      <c r="X42" s="44" t="n"/>
      <c r="Y42" s="44" t="n"/>
      <c r="Z42" s="44" t="n"/>
      <c r="AA42" s="44" t="n"/>
      <c r="AB42" s="45" t="n"/>
      <c r="AC42" s="38" t="inlineStr">
        <is>
          <t>Emitido para cotizacion</t>
        </is>
      </c>
      <c r="AD42" s="44" t="n"/>
      <c r="AE42" s="44" t="n"/>
      <c r="AF42" s="44" t="n"/>
      <c r="AG42" s="44" t="n"/>
      <c r="AH42" s="44" t="n"/>
      <c r="AI42" s="44" t="n"/>
      <c r="AJ42" s="44" t="n"/>
      <c r="AK42" s="44" t="n"/>
      <c r="AL42" s="44" t="n"/>
      <c r="AM42" s="44" t="n"/>
      <c r="AN42" s="44" t="n"/>
      <c r="AO42" s="45" t="n"/>
      <c r="AP42" s="39">
        <f>BO3</f>
        <v/>
      </c>
      <c r="AQ42" s="44" t="n"/>
      <c r="AR42" s="44" t="n"/>
      <c r="AS42" s="44" t="n"/>
      <c r="AT42" s="44" t="n"/>
      <c r="AU42" s="44" t="n"/>
      <c r="AV42" s="45" t="n"/>
      <c r="AW42" s="39">
        <f>AT27</f>
        <v/>
      </c>
      <c r="AX42" s="44" t="n"/>
      <c r="AY42" s="44" t="n"/>
      <c r="AZ42" s="44" t="n"/>
      <c r="BA42" s="44" t="n"/>
      <c r="BB42" s="44" t="n"/>
      <c r="BC42" s="45" t="n"/>
      <c r="BD42" s="40">
        <f>BO5</f>
        <v/>
      </c>
      <c r="BE42" s="44" t="n"/>
      <c r="BF42" s="44" t="n"/>
      <c r="BG42" s="44" t="n"/>
      <c r="BH42" s="44" t="n"/>
      <c r="BI42" s="44" t="n"/>
      <c r="BJ42" s="45" t="n"/>
    </row>
    <row r="43" ht="15" customHeight="1">
      <c r="G43" s="21" t="n"/>
      <c r="H43" s="21" t="n"/>
      <c r="I43" s="21" t="n"/>
      <c r="J43" s="21" t="n"/>
      <c r="K43" s="21" t="n"/>
      <c r="L43" s="21" t="n"/>
      <c r="M43" s="21" t="n"/>
      <c r="N43" s="21" t="n"/>
      <c r="O43" s="50" t="n"/>
      <c r="U43" s="51" t="n"/>
      <c r="V43" s="50" t="n"/>
      <c r="AB43" s="51" t="n"/>
      <c r="AC43" s="50" t="n"/>
      <c r="AO43" s="51" t="n"/>
      <c r="AP43" s="50" t="n"/>
      <c r="AV43" s="51" t="n"/>
      <c r="AW43" s="50" t="n"/>
      <c r="BC43" s="51" t="n"/>
      <c r="BD43" s="50" t="n"/>
      <c r="BJ43" s="51" t="n"/>
      <c r="BP43" s="21" t="n"/>
    </row>
    <row r="44" ht="15" customHeight="1">
      <c r="G44" s="21" t="n"/>
      <c r="H44" s="21" t="n"/>
      <c r="I44" s="21" t="n"/>
      <c r="J44" s="21" t="n"/>
      <c r="K44" s="21" t="n"/>
      <c r="L44" s="21" t="n"/>
      <c r="M44" s="21" t="n"/>
      <c r="N44" s="21" t="n"/>
      <c r="O44" s="52" t="n"/>
      <c r="P44" s="53" t="n"/>
      <c r="Q44" s="53" t="n"/>
      <c r="R44" s="53" t="n"/>
      <c r="S44" s="53" t="n"/>
      <c r="T44" s="53" t="n"/>
      <c r="U44" s="54" t="n"/>
      <c r="V44" s="52" t="n"/>
      <c r="W44" s="53" t="n"/>
      <c r="X44" s="53" t="n"/>
      <c r="Y44" s="53" t="n"/>
      <c r="Z44" s="53" t="n"/>
      <c r="AA44" s="53" t="n"/>
      <c r="AB44" s="54" t="n"/>
      <c r="AC44" s="52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4" t="n"/>
      <c r="AP44" s="52" t="n"/>
      <c r="AQ44" s="53" t="n"/>
      <c r="AR44" s="53" t="n"/>
      <c r="AS44" s="53" t="n"/>
      <c r="AT44" s="53" t="n"/>
      <c r="AU44" s="53" t="n"/>
      <c r="AV44" s="54" t="n"/>
      <c r="AW44" s="52" t="n"/>
      <c r="AX44" s="53" t="n"/>
      <c r="AY44" s="53" t="n"/>
      <c r="AZ44" s="53" t="n"/>
      <c r="BA44" s="53" t="n"/>
      <c r="BB44" s="53" t="n"/>
      <c r="BC44" s="54" t="n"/>
      <c r="BD44" s="52" t="n"/>
      <c r="BE44" s="53" t="n"/>
      <c r="BF44" s="53" t="n"/>
      <c r="BG44" s="53" t="n"/>
      <c r="BH44" s="53" t="n"/>
      <c r="BI44" s="53" t="n"/>
      <c r="BJ44" s="54" t="n"/>
    </row>
    <row r="45" ht="15" customHeight="1">
      <c r="G45" s="21" t="n"/>
      <c r="H45" s="21" t="n"/>
      <c r="I45" s="21" t="n"/>
      <c r="J45" s="21" t="n"/>
      <c r="K45" s="21" t="n"/>
      <c r="L45" s="21" t="n"/>
      <c r="M45" s="21" t="n"/>
      <c r="N45" s="21" t="n"/>
      <c r="O45" s="20" t="n"/>
      <c r="P45" s="44" t="n"/>
      <c r="Q45" s="44" t="n"/>
      <c r="R45" s="44" t="n"/>
      <c r="S45" s="44" t="n"/>
      <c r="T45" s="44" t="n"/>
      <c r="U45" s="45" t="n"/>
      <c r="V45" s="20" t="n"/>
      <c r="W45" s="44" t="n"/>
      <c r="X45" s="44" t="n"/>
      <c r="Y45" s="44" t="n"/>
      <c r="Z45" s="44" t="n"/>
      <c r="AA45" s="44" t="n"/>
      <c r="AB45" s="45" t="n"/>
      <c r="AC45" s="22" t="n"/>
      <c r="AD45" s="44" t="n"/>
      <c r="AE45" s="44" t="n"/>
      <c r="AF45" s="44" t="n"/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5" t="n"/>
      <c r="AP45" s="20" t="n"/>
      <c r="AQ45" s="44" t="n"/>
      <c r="AR45" s="44" t="n"/>
      <c r="AS45" s="44" t="n"/>
      <c r="AT45" s="44" t="n"/>
      <c r="AU45" s="44" t="n"/>
      <c r="AV45" s="45" t="n"/>
      <c r="AW45" s="20" t="n"/>
      <c r="AX45" s="44" t="n"/>
      <c r="AY45" s="44" t="n"/>
      <c r="AZ45" s="44" t="n"/>
      <c r="BA45" s="44" t="n"/>
      <c r="BB45" s="44" t="n"/>
      <c r="BC45" s="45" t="n"/>
      <c r="BD45" s="20" t="n"/>
      <c r="BE45" s="44" t="n"/>
      <c r="BF45" s="44" t="n"/>
      <c r="BG45" s="44" t="n"/>
      <c r="BH45" s="44" t="n"/>
      <c r="BI45" s="44" t="n"/>
      <c r="BJ45" s="45" t="n"/>
    </row>
    <row r="46" ht="15" customHeight="1">
      <c r="G46" s="21" t="n"/>
      <c r="H46" s="21" t="n"/>
      <c r="I46" s="21" t="n"/>
      <c r="J46" s="21" t="n"/>
      <c r="K46" s="21" t="n"/>
      <c r="L46" s="21" t="n"/>
      <c r="M46" s="21" t="n"/>
      <c r="N46" s="21" t="n"/>
      <c r="O46" s="50" t="n"/>
      <c r="U46" s="51" t="n"/>
      <c r="V46" s="50" t="n"/>
      <c r="AB46" s="51" t="n"/>
      <c r="AC46" s="50" t="n"/>
      <c r="AO46" s="51" t="n"/>
      <c r="AP46" s="50" t="n"/>
      <c r="AV46" s="51" t="n"/>
      <c r="AW46" s="50" t="n"/>
      <c r="BC46" s="51" t="n"/>
      <c r="BD46" s="50" t="n"/>
      <c r="BJ46" s="51" t="n"/>
    </row>
    <row r="47" ht="15" customHeight="1">
      <c r="G47" s="21" t="n"/>
      <c r="H47" s="21" t="n"/>
      <c r="I47" s="21" t="n"/>
      <c r="J47" s="21" t="n"/>
      <c r="K47" s="21" t="n"/>
      <c r="L47" s="21" t="n"/>
      <c r="M47" s="21" t="n"/>
      <c r="N47" s="21" t="n"/>
      <c r="O47" s="52" t="n"/>
      <c r="P47" s="53" t="n"/>
      <c r="Q47" s="53" t="n"/>
      <c r="R47" s="53" t="n"/>
      <c r="S47" s="53" t="n"/>
      <c r="T47" s="53" t="n"/>
      <c r="U47" s="54" t="n"/>
      <c r="V47" s="52" t="n"/>
      <c r="W47" s="53" t="n"/>
      <c r="X47" s="53" t="n"/>
      <c r="Y47" s="53" t="n"/>
      <c r="Z47" s="53" t="n"/>
      <c r="AA47" s="53" t="n"/>
      <c r="AB47" s="54" t="n"/>
      <c r="AC47" s="52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4" t="n"/>
      <c r="AP47" s="52" t="n"/>
      <c r="AQ47" s="53" t="n"/>
      <c r="AR47" s="53" t="n"/>
      <c r="AS47" s="53" t="n"/>
      <c r="AT47" s="53" t="n"/>
      <c r="AU47" s="53" t="n"/>
      <c r="AV47" s="54" t="n"/>
      <c r="AW47" s="52" t="n"/>
      <c r="AX47" s="53" t="n"/>
      <c r="AY47" s="53" t="n"/>
      <c r="AZ47" s="53" t="n"/>
      <c r="BA47" s="53" t="n"/>
      <c r="BB47" s="53" t="n"/>
      <c r="BC47" s="54" t="n"/>
      <c r="BD47" s="52" t="n"/>
      <c r="BE47" s="53" t="n"/>
      <c r="BF47" s="53" t="n"/>
      <c r="BG47" s="53" t="n"/>
      <c r="BH47" s="53" t="n"/>
      <c r="BI47" s="53" t="n"/>
      <c r="BJ47" s="54" t="n"/>
    </row>
    <row r="48" ht="15" customHeight="1">
      <c r="O48" s="19" t="n"/>
      <c r="V48" s="19" t="n"/>
      <c r="AC48" s="19" t="n"/>
      <c r="AP48" s="19" t="n"/>
      <c r="AW48" s="19" t="n"/>
      <c r="BD48" s="19" t="n"/>
    </row>
    <row r="49" ht="15" customHeight="1"/>
    <row r="50" ht="15" customHeight="1"/>
    <row r="52" ht="15" customHeight="1">
      <c r="BH52" s="8" t="n"/>
      <c r="BI52" s="8" t="n"/>
      <c r="BJ52" s="8" t="n"/>
      <c r="BK52" s="8" t="n"/>
      <c r="BL52" s="8" t="n"/>
      <c r="BM52" s="9" t="n"/>
      <c r="BN52" s="9" t="n"/>
      <c r="BO52" s="9" t="n"/>
      <c r="BP52" s="9" t="n"/>
      <c r="BQ52" s="9" t="n"/>
      <c r="BR52" s="9" t="n"/>
    </row>
    <row r="54" ht="15" customHeight="1">
      <c r="AA54" s="55" t="n"/>
      <c r="AB54" s="55" t="n"/>
      <c r="AC54" s="55" t="n"/>
      <c r="AD54" s="55" t="n"/>
      <c r="AE54" s="55" t="n"/>
      <c r="AF54" s="55" t="n"/>
      <c r="AG54" s="55" t="n"/>
      <c r="AH54" s="55" t="n"/>
      <c r="AI54" s="55" t="n"/>
      <c r="AJ54" s="55" t="n"/>
      <c r="AK54" s="55" t="n"/>
      <c r="AL54" s="55" t="n"/>
      <c r="AM54" s="55" t="n"/>
      <c r="AN54" s="55" t="n"/>
      <c r="AO54" s="55" t="n"/>
      <c r="AP54" s="11" t="n"/>
      <c r="AQ54" s="11" t="n"/>
      <c r="AR54" s="11" t="n"/>
      <c r="AW54" s="3" t="n"/>
      <c r="AX54" s="3" t="n"/>
      <c r="AY54" s="3" t="n"/>
      <c r="AZ54" s="3" t="n"/>
      <c r="BA54" s="3" t="n"/>
    </row>
  </sheetData>
  <mergeCells count="54">
    <mergeCell ref="AW42:BC44"/>
    <mergeCell ref="V45:AB47"/>
    <mergeCell ref="BO2:BZ2"/>
    <mergeCell ref="AP45:AV47"/>
    <mergeCell ref="AW45:BC47"/>
    <mergeCell ref="AP48:AV50"/>
    <mergeCell ref="O42:U44"/>
    <mergeCell ref="AF27:AS29"/>
    <mergeCell ref="BC3:BN3"/>
    <mergeCell ref="AT27:BG29"/>
    <mergeCell ref="BO3:BZ3"/>
    <mergeCell ref="BD45:BJ47"/>
    <mergeCell ref="AC45:AO47"/>
    <mergeCell ref="O48:U50"/>
    <mergeCell ref="Z5:BB6"/>
    <mergeCell ref="AF24:AS26"/>
    <mergeCell ref="BC5:BN5"/>
    <mergeCell ref="N1:Y5"/>
    <mergeCell ref="AC48:AO50"/>
    <mergeCell ref="AT24:BG26"/>
    <mergeCell ref="BO5:BZ5"/>
    <mergeCell ref="R24:AE26"/>
    <mergeCell ref="BK36:BZ36"/>
    <mergeCell ref="V42:AB44"/>
    <mergeCell ref="Z1:BB2"/>
    <mergeCell ref="BC4:BN4"/>
    <mergeCell ref="N6:Y6"/>
    <mergeCell ref="R21:AE23"/>
    <mergeCell ref="AP42:AV44"/>
    <mergeCell ref="A6:M6"/>
    <mergeCell ref="V48:AB50"/>
    <mergeCell ref="BC1:BN1"/>
    <mergeCell ref="O39:U41"/>
    <mergeCell ref="AW39:BC41"/>
    <mergeCell ref="AW48:BC50"/>
    <mergeCell ref="AP39:AV41"/>
    <mergeCell ref="BO1:BZ1"/>
    <mergeCell ref="R27:AE29"/>
    <mergeCell ref="BO4:BZ4"/>
    <mergeCell ref="O45:U47"/>
    <mergeCell ref="A1:M5"/>
    <mergeCell ref="BD42:BJ44"/>
    <mergeCell ref="AC42:AO44"/>
    <mergeCell ref="BC6:BN6"/>
    <mergeCell ref="AF21:AS23"/>
    <mergeCell ref="BC2:BN2"/>
    <mergeCell ref="AC39:AO41"/>
    <mergeCell ref="BP43:BV43"/>
    <mergeCell ref="BO6:BZ6"/>
    <mergeCell ref="BD48:BJ50"/>
    <mergeCell ref="V39:AB41"/>
    <mergeCell ref="AT21:BG23"/>
    <mergeCell ref="BD39:BJ41"/>
    <mergeCell ref="Z3:BB4"/>
  </mergeCells>
  <printOptions horizontalCentered="1" verticalCentered="1"/>
  <pageMargins left="0.1968503937007874" right="0.1968503937007874" top="0.3937007874015748" bottom="0.3937007874015748" header="0.03937007874015748" footer="0.03937007874015748"/>
  <pageSetup orientation="landscape" scale="5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30.613281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9.25" customHeight="1">
      <c r="A1" s="35" t="n"/>
      <c r="B1" s="36" t="n"/>
      <c r="C1" s="35">
        <f>PORTADA!Z1</f>
        <v/>
      </c>
      <c r="D1" s="46" t="n"/>
      <c r="E1" s="46" t="n"/>
      <c r="F1" s="46" t="n"/>
      <c r="G1" s="46" t="n"/>
      <c r="H1" s="46" t="n"/>
      <c r="I1" s="46" t="n"/>
      <c r="J1" s="46" t="n"/>
      <c r="K1" s="46" t="n"/>
      <c r="L1" s="47" t="n"/>
      <c r="M1" s="12" t="inlineStr">
        <is>
          <t>CODIGO:</t>
        </is>
      </c>
      <c r="N1" s="32">
        <f>PORTADA!BO1</f>
        <v/>
      </c>
      <c r="O1" s="47" t="n"/>
    </row>
    <row r="2" ht="29.25" customHeight="1">
      <c r="A2" s="56" t="n"/>
      <c r="B2" s="56" t="n"/>
      <c r="C2" s="35">
        <f>PORTADA!Z3</f>
        <v/>
      </c>
      <c r="D2" s="44" t="n"/>
      <c r="E2" s="44" t="n"/>
      <c r="F2" s="44" t="n"/>
      <c r="G2" s="44" t="n"/>
      <c r="H2" s="44" t="n"/>
      <c r="I2" s="44" t="n"/>
      <c r="J2" s="44" t="n"/>
      <c r="K2" s="44" t="n"/>
      <c r="L2" s="45" t="n"/>
      <c r="M2" s="12" t="inlineStr">
        <is>
          <t>REVISION:</t>
        </is>
      </c>
      <c r="N2" s="32">
        <f>PORTADA!BO2</f>
        <v/>
      </c>
      <c r="O2" s="47" t="n"/>
    </row>
    <row r="3" ht="29.25" customHeight="1">
      <c r="A3" s="56" t="n"/>
      <c r="B3" s="56" t="n"/>
      <c r="C3" s="52" t="n"/>
      <c r="D3" s="53" t="n"/>
      <c r="E3" s="53" t="n"/>
      <c r="F3" s="53" t="n"/>
      <c r="G3" s="53" t="n"/>
      <c r="H3" s="53" t="n"/>
      <c r="I3" s="53" t="n"/>
      <c r="J3" s="53" t="n"/>
      <c r="K3" s="53" t="n"/>
      <c r="L3" s="54" t="n"/>
      <c r="M3" s="12" t="inlineStr">
        <is>
          <t>FECHA:</t>
        </is>
      </c>
      <c r="N3" s="32">
        <f>PORTADA!BO3</f>
        <v/>
      </c>
      <c r="O3" s="47" t="n"/>
    </row>
    <row r="4" ht="29.25" customHeight="1">
      <c r="A4" s="56" t="n"/>
      <c r="B4" s="56" t="n"/>
      <c r="C4" s="35">
        <f>PORTADA!Z5</f>
        <v/>
      </c>
      <c r="D4" s="44" t="n"/>
      <c r="E4" s="44" t="n"/>
      <c r="F4" s="44" t="n"/>
      <c r="G4" s="44" t="n"/>
      <c r="H4" s="44" t="n"/>
      <c r="I4" s="44" t="n"/>
      <c r="J4" s="44" t="n"/>
      <c r="K4" s="44" t="n"/>
      <c r="L4" s="45" t="n"/>
      <c r="M4" s="12" t="inlineStr">
        <is>
          <t>ELABORO:</t>
        </is>
      </c>
      <c r="N4" s="32">
        <f>PORTADA!BO4</f>
        <v/>
      </c>
      <c r="O4" s="47" t="n"/>
    </row>
    <row r="5" ht="29.25" customHeight="1">
      <c r="A5" s="57" t="n"/>
      <c r="B5" s="57" t="n"/>
      <c r="C5" s="50" t="n"/>
      <c r="L5" s="51" t="n"/>
      <c r="M5" s="12" t="inlineStr">
        <is>
          <t xml:space="preserve">REVISO:      </t>
        </is>
      </c>
      <c r="N5" s="32">
        <f>PORTADA!BO5</f>
        <v/>
      </c>
      <c r="O5" s="47" t="n"/>
    </row>
    <row r="6" ht="29.25" customHeight="1">
      <c r="A6" s="12" t="inlineStr">
        <is>
          <t>PROYECTO:</t>
        </is>
      </c>
      <c r="B6" s="35">
        <f>PORTADA!N6</f>
        <v/>
      </c>
      <c r="C6" s="52" t="n"/>
      <c r="D6" s="53" t="n"/>
      <c r="E6" s="53" t="n"/>
      <c r="F6" s="53" t="n"/>
      <c r="G6" s="53" t="n"/>
      <c r="H6" s="53" t="n"/>
      <c r="I6" s="53" t="n"/>
      <c r="J6" s="53" t="n"/>
      <c r="K6" s="53" t="n"/>
      <c r="L6" s="54" t="n"/>
      <c r="M6" s="12" t="inlineStr">
        <is>
          <t>APROBO:</t>
        </is>
      </c>
      <c r="N6" s="32">
        <f>PORTADA!BO6</f>
        <v/>
      </c>
      <c r="O6" s="47" t="n"/>
    </row>
    <row r="7" ht="25" customHeight="1">
      <c r="A7" s="18" t="n">
        <v>1</v>
      </c>
      <c r="B7" s="18" t="n">
        <v>2</v>
      </c>
      <c r="C7" s="18" t="n">
        <v>3</v>
      </c>
      <c r="D7" s="18" t="n">
        <v>4</v>
      </c>
      <c r="E7" s="18" t="n">
        <v>5</v>
      </c>
      <c r="F7" s="18" t="n">
        <v>6</v>
      </c>
      <c r="G7" s="18" t="n">
        <v>7</v>
      </c>
      <c r="H7" s="18" t="n">
        <v>8</v>
      </c>
      <c r="I7" s="18" t="n">
        <v>9</v>
      </c>
      <c r="J7" s="18" t="n">
        <v>10</v>
      </c>
      <c r="K7" s="18" t="n">
        <v>11</v>
      </c>
      <c r="L7" s="18" t="n">
        <v>12</v>
      </c>
      <c r="M7" s="18" t="n">
        <v>13</v>
      </c>
      <c r="N7" s="18" t="n">
        <v>14</v>
      </c>
      <c r="O7" s="18" t="n">
        <v>15</v>
      </c>
    </row>
    <row r="9">
      <c r="A9" s="58" t="inlineStr">
        <is>
          <t>Hoja de datos: ventilador de impulsión</t>
        </is>
      </c>
    </row>
    <row r="10">
      <c r="A10" s="59" t="inlineStr">
        <is>
          <t>Campo</t>
        </is>
      </c>
      <c r="B10" s="59" t="inlineStr">
        <is>
          <t>Valor</t>
        </is>
      </c>
      <c r="C10" s="59" t="n"/>
      <c r="D10" s="59" t="n"/>
      <c r="E10" s="59" t="n"/>
      <c r="F10" s="59" t="n"/>
    </row>
    <row r="11">
      <c r="A11" s="60" t="inlineStr">
        <is>
          <t>Código</t>
        </is>
      </c>
      <c r="B11" s="60" t="inlineStr">
        <is>
          <t>HD-VENT-001</t>
        </is>
      </c>
      <c r="C11" s="61" t="n"/>
      <c r="D11" s="61" t="n"/>
      <c r="E11" s="61" t="n"/>
      <c r="F11" s="61" t="n"/>
    </row>
    <row r="12">
      <c r="A12" s="60" t="inlineStr">
        <is>
          <t>Revisión</t>
        </is>
      </c>
      <c r="B12" s="60" t="inlineStr">
        <is>
          <t>0</t>
        </is>
      </c>
      <c r="C12" s="61" t="n"/>
      <c r="D12" s="61" t="n"/>
      <c r="E12" s="61" t="n"/>
      <c r="F12" s="61" t="n"/>
    </row>
    <row r="13">
      <c r="A13" s="60" t="inlineStr">
        <is>
          <t>Fecha</t>
        </is>
      </c>
      <c r="B13" s="60" t="inlineStr">
        <is>
          <t>2026-07-23</t>
        </is>
      </c>
      <c r="C13" s="61" t="n"/>
      <c r="D13" s="61" t="n"/>
      <c r="E13" s="61" t="n"/>
      <c r="F13" s="61" t="n"/>
    </row>
    <row r="14">
      <c r="A14" s="60" t="inlineStr">
        <is>
          <t>Proyecto</t>
        </is>
      </c>
      <c r="B14" s="60" t="inlineStr">
        <is>
          <t>P2437-HV-INF-001 — BRINSA, laboratorio de análisis industrial, Cajicá</t>
        </is>
      </c>
      <c r="C14" s="61" t="n"/>
      <c r="D14" s="61" t="n"/>
      <c r="E14" s="61" t="n"/>
      <c r="F14" s="61" t="n"/>
    </row>
    <row r="15">
      <c r="A15" s="60" t="inlineStr">
        <is>
          <t>Etiqueta de equipo</t>
        </is>
      </c>
      <c r="B15" s="60" t="inlineStr">
        <is>
          <t>VENT-001 (ventilador de impulsión / presurización)</t>
        </is>
      </c>
      <c r="C15" s="61" t="n"/>
      <c r="D15" s="61" t="n"/>
      <c r="E15" s="61" t="n"/>
      <c r="F15" s="61" t="n"/>
    </row>
    <row r="18">
      <c r="A18" s="62" t="inlineStr">
        <is>
          <t>1. Servicio</t>
        </is>
      </c>
    </row>
    <row r="19">
      <c r="A19" s="63" t="inlineStr">
        <is>
          <t>1.1. Impulsión de aire exterior filtrado (MERV 13-14) al laboratorio de análisis industrial para mantener presurización positiva de +25 Pa (mínimo +12.5 Pa) y excluir insectos, objetos extraños y polvo. Descarga directa al recinto, sin red de ductos de distribución. Operación continua.</t>
        </is>
      </c>
    </row>
    <row r="20"/>
    <row r="21"/>
    <row r="22"/>
    <row r="23">
      <c r="A23" s="63" t="inlineStr">
        <is>
          <t>1.2. Ambiente de instalación: exterior o semi-cubierto dentro de planta de hipoclorito de calcio; atmósfera con Cl₂/ClO⁻, polvo de Ca(ClO)₂ y humedad relativa media 84 %. Servicio clasificado como altamente corrosivo.</t>
        </is>
      </c>
    </row>
    <row r="24"/>
    <row r="25"/>
    <row r="27">
      <c r="A27" s="62" t="inlineStr">
        <is>
          <t>2. Condiciones de sitio</t>
        </is>
      </c>
    </row>
    <row r="28">
      <c r="A28" s="64" t="inlineStr">
        <is>
          <t>Tabla 1. Condiciones ambientales de diseño (fuentes en informe_investigacion.md §3.1; consulta 2026-07-23).</t>
        </is>
      </c>
    </row>
    <row r="29"/>
    <row r="30">
      <c r="A30" s="59" t="inlineStr">
        <is>
          <t>Parámetro</t>
        </is>
      </c>
      <c r="B30" s="59" t="inlineStr">
        <is>
          <t>Valor</t>
        </is>
      </c>
      <c r="C30" s="59" t="n"/>
      <c r="D30" s="59" t="n"/>
      <c r="E30" s="59" t="n"/>
      <c r="F30" s="59" t="n"/>
    </row>
    <row r="31">
      <c r="A31" s="60" t="inlineStr">
        <is>
          <t>Altitud</t>
        </is>
      </c>
      <c r="B31" s="60" t="inlineStr">
        <is>
          <t>2 558 msnm</t>
        </is>
      </c>
      <c r="C31" s="61" t="n"/>
      <c r="D31" s="61" t="n"/>
      <c r="E31" s="61" t="n"/>
      <c r="F31" s="61" t="n"/>
    </row>
    <row r="32">
      <c r="A32" s="60" t="inlineStr">
        <is>
          <t>Presión atmosférica</t>
        </is>
      </c>
      <c r="B32" s="60" t="inlineStr">
        <is>
          <t>74.1 kPa</t>
        </is>
      </c>
      <c r="C32" s="61" t="n"/>
      <c r="D32" s="61" t="n"/>
      <c r="E32" s="61" t="n"/>
      <c r="F32" s="61" t="n"/>
    </row>
    <row r="33">
      <c r="A33" s="60" t="inlineStr">
        <is>
          <t>Temperatura de diseño verano / invierno / media</t>
        </is>
      </c>
      <c r="B33" s="60" t="inlineStr">
        <is>
          <t>21 °C / 3 °C / 14 °C</t>
        </is>
      </c>
      <c r="C33" s="61" t="n"/>
      <c r="D33" s="61" t="n"/>
      <c r="E33" s="61" t="n"/>
      <c r="F33" s="61" t="n"/>
    </row>
    <row r="34">
      <c r="A34" s="60" t="inlineStr">
        <is>
          <t>Humedad relativa media anual</t>
        </is>
      </c>
      <c r="B34" s="60" t="inlineStr">
        <is>
          <t>84 %</t>
        </is>
      </c>
      <c r="C34" s="61" t="n"/>
      <c r="D34" s="61" t="n"/>
      <c r="E34" s="61" t="n"/>
      <c r="F34" s="61" t="n"/>
    </row>
    <row r="35">
      <c r="A35" s="60" t="inlineStr">
        <is>
          <t>Densidad del aire de diseño</t>
        </is>
      </c>
      <c r="B35" s="60" t="inlineStr">
        <is>
          <t>0.88 kg/m³ a 20 °C (0.87 kg/m³ en condición 0.4 %)</t>
        </is>
      </c>
      <c r="C35" s="61" t="n"/>
      <c r="D35" s="61" t="n"/>
      <c r="E35" s="61" t="n"/>
      <c r="F35" s="61" t="n"/>
    </row>
    <row r="36">
      <c r="A36" s="60" t="inlineStr">
        <is>
          <t>Factor de densidad k (vs. catálogo 1.2 kg/m³)</t>
        </is>
      </c>
      <c r="B36" s="60" t="inlineStr">
        <is>
          <t>0.733</t>
        </is>
      </c>
      <c r="C36" s="61" t="n"/>
      <c r="D36" s="61" t="n"/>
      <c r="E36" s="61" t="n"/>
      <c r="F36" s="61" t="n"/>
    </row>
    <row r="39">
      <c r="A39" s="62" t="inlineStr">
        <is>
          <t>3. Punto de trabajo</t>
        </is>
      </c>
    </row>
    <row r="40">
      <c r="A40" s="64" t="inlineStr">
        <is>
          <t>Tabla 2. Punto de trabajo en el sitio y punto equivalente de selección en catálogo.</t>
        </is>
      </c>
    </row>
    <row r="41"/>
    <row r="42">
      <c r="A42" s="59" t="inlineStr">
        <is>
          <t>Magnitud</t>
        </is>
      </c>
      <c r="B42" s="59" t="inlineStr">
        <is>
          <t>En el sitio (ρ = 0.88 kg/m³)</t>
        </is>
      </c>
      <c r="C42" s="59" t="inlineStr">
        <is>
          <t>Equivalente catálogo (ρ = 1.2 kg/m³)</t>
        </is>
      </c>
      <c r="D42" s="59" t="n"/>
      <c r="E42" s="59" t="n"/>
      <c r="F42" s="59" t="n"/>
    </row>
    <row r="43">
      <c r="A43" s="60" t="inlineStr">
        <is>
          <t>Caudal</t>
        </is>
      </c>
      <c r="B43" s="60" t="inlineStr">
        <is>
          <t>3 840 m³/h = 64 m³/min = 1.0667 m³/s = 2 260 CFM</t>
        </is>
      </c>
      <c r="C43" s="60" t="inlineStr">
        <is>
          <t>Sin cambio (máquina de volumen constante)</t>
        </is>
      </c>
      <c r="D43" s="61" t="n"/>
      <c r="E43" s="61" t="n"/>
      <c r="F43" s="61" t="n"/>
    </row>
    <row r="44">
      <c r="A44" s="60" t="inlineStr">
        <is>
          <t>ΔP total, escenario de diseño (filtro cargado)</t>
        </is>
      </c>
      <c r="B44" s="60" t="inlineStr">
        <is>
          <t>190 Pa</t>
        </is>
      </c>
      <c r="C44" s="60" t="inlineStr">
        <is>
          <t>260 Pa</t>
        </is>
      </c>
      <c r="D44" s="61" t="n"/>
      <c r="E44" s="61" t="n"/>
      <c r="F44" s="61" t="n"/>
    </row>
    <row r="45">
      <c r="A45" s="60" t="inlineStr">
        <is>
          <t>ΔP total, escenario filtro limpio</t>
        </is>
      </c>
      <c r="B45" s="60" t="inlineStr">
        <is>
          <t>95 Pa</t>
        </is>
      </c>
      <c r="C45" s="60" t="inlineStr">
        <is>
          <t>130 Pa</t>
        </is>
      </c>
      <c r="D45" s="61" t="n"/>
      <c r="E45" s="61" t="n"/>
      <c r="F45" s="61" t="n"/>
    </row>
    <row r="46">
      <c r="A46" s="60" t="inlineStr">
        <is>
          <t>Composición ΔP diseño</t>
        </is>
      </c>
      <c r="B46" s="60" t="inlineStr">
        <is>
          <t>Filtro 154 Pa + presurización 25 Pa + rejillas 11 Pa</t>
        </is>
      </c>
      <c r="C46" s="60" t="inlineStr">
        <is>
          <t>Filtro 210 Pa + 34 Pa + 15 Pa</t>
        </is>
      </c>
      <c r="D46" s="61" t="n"/>
      <c r="E46" s="61" t="n"/>
      <c r="F46" s="61" t="n"/>
    </row>
    <row r="47">
      <c r="A47" s="60" t="inlineStr">
        <is>
          <t>Velocidad de inyección</t>
        </is>
      </c>
      <c r="B47" s="60" t="inlineStr">
        <is>
          <t>8 m/s (presión dinámica 28 Pa en el sitio)</t>
        </is>
      </c>
      <c r="C47" s="60" t="inlineStr">
        <is>
          <t>—</t>
        </is>
      </c>
      <c r="D47" s="61" t="n"/>
      <c r="E47" s="61" t="n"/>
      <c r="F47" s="61" t="n"/>
    </row>
    <row r="48">
      <c r="A48" s="60" t="inlineStr">
        <is>
          <t>Potencia teórica al freno (η = 0.60)</t>
        </is>
      </c>
      <c r="B48" s="60" t="inlineStr">
        <is>
          <t>0.338 kW = 0.45 HP</t>
        </is>
      </c>
      <c r="C48" s="60" t="inlineStr">
        <is>
          <t>—</t>
        </is>
      </c>
      <c r="D48" s="61" t="n"/>
      <c r="E48" s="61" t="n"/>
      <c r="F48" s="61" t="n"/>
    </row>
    <row r="50">
      <c r="A50" s="63" t="inlineStr">
        <is>
          <t>3.1. La selección se efectúa sobre catálogo a densidad estándar en el punto 3 840 m³/h @ 260 Pa, aplicando las leyes de los ventiladores (P ∝ ρ, potencia ∝ ρ, Q constante) según Twin City Fan FE-1600 (http://eu.tcf.com/wp-content/uploads/sites/4/2018/06/Temperature-Altitude-Effects-on-Fans-FE-1600-1.pdf) (consulta 2026-07-23). Tamaño y RPM exactos: por confirmar con proveedor mediante su software de selección.</t>
        </is>
      </c>
    </row>
    <row r="51"/>
    <row r="52"/>
    <row r="53"/>
    <row r="54"/>
    <row r="55"/>
    <row r="56">
      <c r="A56" s="63" t="inlineStr">
        <is>
          <t>3.2. El ventilador seleccionado entregará en el sitio el mismo caudal a las mismas RPM, con presión y potencia reducidas en el factor 0.733; el margen sobre la potencia de eje (motor 1.0 HP vs. 0.45 HP teóricos) absorbe el derateo por altitud de NEMA MG-1 (≈9 % a 2 558 msnm) y el factor de servicio.</t>
        </is>
      </c>
    </row>
    <row r="57"/>
    <row r="58"/>
    <row r="59"/>
    <row r="61">
      <c r="A61" s="62" t="inlineStr">
        <is>
          <t>4. Tipo y materiales de construcción</t>
        </is>
      </c>
    </row>
    <row r="62">
      <c r="A62" s="64" t="inlineStr">
        <is>
          <t>Tabla 3. Requisitos de construcción.</t>
        </is>
      </c>
    </row>
    <row r="63">
      <c r="A63" s="59" t="inlineStr">
        <is>
          <t>Componente</t>
        </is>
      </c>
      <c r="B63" s="59" t="inlineStr">
        <is>
          <t>Especificación</t>
        </is>
      </c>
      <c r="C63" s="59" t="n"/>
      <c r="D63" s="59" t="n"/>
      <c r="E63" s="59" t="n"/>
      <c r="F63" s="59" t="n"/>
    </row>
    <row r="64">
      <c r="A64" s="60" t="inlineStr">
        <is>
          <t>Tipo</t>
        </is>
      </c>
      <c r="B64" s="60" t="inlineStr">
        <is>
          <t>Centrífugo, álabes curvados hacia atrás, simple aspiración, transmisión directa o por bandas (dato típico según línea seleccionada)</t>
        </is>
      </c>
      <c r="C64" s="61" t="n"/>
      <c r="D64" s="61" t="n"/>
      <c r="E64" s="61" t="n"/>
      <c r="F64" s="61" t="n"/>
    </row>
    <row r="65">
      <c r="A65" s="60" t="inlineStr">
        <is>
          <t>Carcasa y rueda</t>
        </is>
      </c>
      <c r="B65" s="60" t="inlineStr">
        <is>
          <t>PRFV con resina viniléster, laminado según ASTM C582/D4167 (primera opción) o polipropileno (alternativa); velo superficial para oxidantes fuertes donde el fabricante lo ofrezca</t>
        </is>
      </c>
      <c r="C65" s="61" t="n"/>
      <c r="D65" s="61" t="n"/>
      <c r="E65" s="61" t="n"/>
      <c r="F65" s="61" t="n"/>
    </row>
    <row r="66">
      <c r="A66" s="60" t="inlineStr">
        <is>
          <t>Elementos metálicos en la corriente</t>
        </is>
      </c>
      <c r="B66" s="60" t="inlineStr">
        <is>
          <t>Ninguno (motor fuera de la corriente de aire)</t>
        </is>
      </c>
      <c r="C66" s="61" t="n"/>
      <c r="D66" s="61" t="n"/>
      <c r="E66" s="61" t="n"/>
      <c r="F66" s="61" t="n"/>
    </row>
    <row r="67">
      <c r="A67" s="60" t="inlineStr">
        <is>
          <t>Eje y buje</t>
        </is>
      </c>
      <c r="B67" s="60" t="inlineStr">
        <is>
          <t>Encapsulados/protegidos contra la atmósfera clorada</t>
        </is>
      </c>
      <c r="C67" s="61" t="n"/>
      <c r="D67" s="61" t="n"/>
      <c r="E67" s="61" t="n"/>
      <c r="F67" s="61" t="n"/>
    </row>
    <row r="68">
      <c r="A68" s="60" t="inlineStr">
        <is>
          <t>Construcción contra chispa</t>
        </is>
      </c>
      <c r="B68" s="60" t="inlineStr">
        <is>
          <t>AMCA 99 Spark A (dato típico de especificación para PRFV)</t>
        </is>
      </c>
      <c r="C68" s="61" t="n"/>
      <c r="D68" s="61" t="n"/>
      <c r="E68" s="61" t="n"/>
      <c r="F68" s="61" t="n"/>
    </row>
    <row r="69">
      <c r="A69" s="60" t="inlineStr">
        <is>
          <t>Certificación de desempeño</t>
        </is>
      </c>
      <c r="B69" s="60" t="inlineStr">
        <is>
          <t>AMCA 210/211 (sello AMCA exigible)</t>
        </is>
      </c>
      <c r="C69" s="61" t="n"/>
      <c r="D69" s="61" t="n"/>
      <c r="E69" s="61" t="n"/>
      <c r="F69" s="61" t="n"/>
    </row>
    <row r="70">
      <c r="A70" s="60" t="inlineStr">
        <is>
          <t>Descartado</t>
        </is>
      </c>
      <c r="B70" s="60" t="inlineStr">
        <is>
          <t>Axial PRFV (presión insuficiente con MERV 13-14); acero inoxidable en la corriente (picadura por cloruros); acero galvanizado</t>
        </is>
      </c>
      <c r="C70" s="61" t="n"/>
      <c r="D70" s="61" t="n"/>
      <c r="E70" s="61" t="n"/>
      <c r="F70" s="61" t="n"/>
    </row>
    <row r="72">
      <c r="A72" s="63" t="inlineStr">
        <is>
          <t>Justificación de materiales: las resinas viniléster tipo Derakane se especifican expresamente para cloro e hipoclorito (INEOS — Derakane Resin Selection Guide (http://www.ineos.com/globalassets/ineos-group/businesses/ineos-composites/markets/corrosion/derakane-resin-selection-guide.pdf), consulta 2026-07-23); el polipropileno ofrece alta resistencia a cloruros e hipoclorito a temperatura ambiente (Plastec (https://www.plastecventilation.com/collections/plastec-series), consulta 2026-07-23).</t>
        </is>
      </c>
    </row>
    <row r="73"/>
    <row r="74"/>
    <row r="75"/>
    <row r="76"/>
    <row r="77"/>
    <row r="78"/>
    <row r="80">
      <c r="A80" s="62" t="inlineStr">
        <is>
          <t>5. Motor</t>
        </is>
      </c>
    </row>
    <row r="81">
      <c r="A81" s="64" t="inlineStr">
        <is>
          <t>Tabla 4. Especificación del motor.</t>
        </is>
      </c>
    </row>
    <row r="82">
      <c r="A82" s="59" t="inlineStr">
        <is>
          <t>Parámetro</t>
        </is>
      </c>
      <c r="B82" s="59" t="inlineStr">
        <is>
          <t>Valor</t>
        </is>
      </c>
      <c r="C82" s="59" t="n"/>
      <c r="D82" s="59" t="n"/>
      <c r="E82" s="59" t="n"/>
      <c r="F82" s="59" t="n"/>
    </row>
    <row r="83">
      <c r="A83" s="60" t="inlineStr">
        <is>
          <t>Potencia instalada</t>
        </is>
      </c>
      <c r="B83" s="60" t="inlineStr">
        <is>
          <t>1.0 HP</t>
        </is>
      </c>
      <c r="C83" s="61" t="n"/>
      <c r="D83" s="61" t="n"/>
      <c r="E83" s="61" t="n"/>
      <c r="F83" s="61" t="n"/>
    </row>
    <row r="84">
      <c r="A84" s="60" t="inlineStr">
        <is>
          <t>Ejecución</t>
        </is>
      </c>
      <c r="B84" s="60" t="inlineStr">
        <is>
          <t>TEFC, severe duty, pintura epóxica, protección interna anticorrosiva, sellos de eje en ambos extremos (referencia IEEE 841 o equivalente)</t>
        </is>
      </c>
      <c r="C84" s="61" t="n"/>
      <c r="D84" s="61" t="n"/>
      <c r="E84" s="61" t="n"/>
      <c r="F84" s="61" t="n"/>
    </row>
    <row r="85">
      <c r="A85" s="60" t="inlineStr">
        <is>
          <t>Velocidad</t>
        </is>
      </c>
      <c r="B85" s="60" t="inlineStr">
        <is>
          <t>1 800 RPM (4 polos, 60 Hz) — dato típico</t>
        </is>
      </c>
      <c r="C85" s="61" t="n"/>
      <c r="D85" s="61" t="n"/>
      <c r="E85" s="61" t="n"/>
      <c r="F85" s="61" t="n"/>
    </row>
    <row r="86">
      <c r="A86" s="60" t="inlineStr">
        <is>
          <t>Aislamiento / protección</t>
        </is>
      </c>
      <c r="B86" s="60" t="inlineStr">
        <is>
          <t>Clase F / IP55 mínimo (IP56 preferible)</t>
        </is>
      </c>
      <c r="C86" s="61" t="n"/>
      <c r="D86" s="61" t="n"/>
      <c r="E86" s="61" t="n"/>
      <c r="F86" s="61" t="n"/>
    </row>
    <row r="87">
      <c r="A87" s="60" t="inlineStr">
        <is>
          <t>Tensión / fases / frecuencia</t>
        </is>
      </c>
      <c r="B87" s="60" t="inlineStr">
        <is>
          <t>440 V, 3φ, 60 Hz (confirmado por el cliente, 2026-07-23)</t>
        </is>
      </c>
      <c r="C87" s="61" t="n"/>
      <c r="D87" s="61" t="n"/>
      <c r="E87" s="61" t="n"/>
      <c r="F87" s="61" t="n"/>
    </row>
    <row r="88">
      <c r="A88" s="60" t="inlineStr">
        <is>
          <t>Derateo por altitud</t>
        </is>
      </c>
      <c r="B88" s="60" t="inlineStr">
        <is>
          <t>≈9 % (NEMA MG-1); absorbido por el margen de selección (§3.2)</t>
        </is>
      </c>
      <c r="C88" s="61" t="n"/>
      <c r="D88" s="61" t="n"/>
      <c r="E88" s="61" t="n"/>
      <c r="F88" s="61" t="n"/>
    </row>
    <row r="89">
      <c r="A89" s="60" t="inlineStr">
        <is>
          <t>Accesorios</t>
        </is>
      </c>
      <c r="B89" s="60" t="inlineStr">
        <is>
          <t>Calentador anticondensación si hay paradas largas (dato típico de buena práctica); caja de conexiones sellada, prensaestopas niquelados</t>
        </is>
      </c>
      <c r="C89" s="61" t="n"/>
      <c r="D89" s="61" t="n"/>
      <c r="E89" s="61" t="n"/>
      <c r="F89" s="61" t="n"/>
    </row>
    <row r="91">
      <c r="A91" s="63" t="inlineStr">
        <is>
          <t>Referencias de especificación: Leeson/Regal Severe Duty (PDF) (https://www.regalrexnord.com/-/media/documents/brands/literature/industries/leeson_product_catalog_1050.pdf); Baldor-Reliance IEEE 841XL (https://www.baldor.com/mvc/DownloadCenter/Files/9AKK108319) (consulta 2026-07-23).</t>
        </is>
      </c>
    </row>
    <row r="92"/>
    <row r="93"/>
    <row r="94"/>
    <row r="96">
      <c r="A96" s="62" t="inlineStr">
        <is>
          <t>6. Accesorios</t>
        </is>
      </c>
    </row>
    <row r="97">
      <c r="A97" s="63" t="inlineStr">
        <is>
          <t>6.1. Conexión flexible de descarga en hipalón (CSM) con bandas inox 316 (Hardcast Hypalon (PDF) (https://6c2bd45d09da3c66a408-2b16a407535c695c8a76f8b06a56f342.ssl.cf2.rackcdn.com/GWB%20%20eCatalog%2006-25-16.pdf), consulta 2026-07-23). 6.2. Bancada y soportes con ferretería inox 316 (A4) y aislamiento dieléctrico frente a estructura galvanizada. 6.3. Toma de aire ubicada a sotavento y alejada de las fuentes de cloro de la planta (recomendación de la investigación). 6.4. Guardamotor y tablero conforme a RETIE (ver listado_equipos.md, ítems 16-17).</t>
        </is>
      </c>
    </row>
    <row r="98"/>
    <row r="99"/>
    <row r="100"/>
    <row r="101"/>
    <row r="102"/>
    <row r="103"/>
    <row r="105">
      <c r="A105" s="62" t="inlineStr">
        <is>
          <t>7. Candidatos comerciales</t>
        </is>
      </c>
    </row>
    <row r="106">
      <c r="A106" s="64" t="inlineStr">
        <is>
          <t>Tabla 5. Candidatos (consulta 2026-07-23); tamaño/RPM final por confirmar con proveedor.</t>
        </is>
      </c>
    </row>
    <row r="107"/>
    <row r="108">
      <c r="A108" s="59" t="inlineStr">
        <is>
          <t>Fabricante / línea</t>
        </is>
      </c>
      <c r="B108" s="59" t="inlineStr">
        <is>
          <t>Material</t>
        </is>
      </c>
      <c r="C108" s="59" t="inlineStr">
        <is>
          <t>Canal en Colombia</t>
        </is>
      </c>
      <c r="D108" s="59" t="inlineStr">
        <is>
          <t>Fuente</t>
        </is>
      </c>
      <c r="E108" s="59" t="n"/>
      <c r="F108" s="59" t="n"/>
    </row>
    <row r="109">
      <c r="A109" s="60" t="inlineStr">
        <is>
          <t>Greenheck BCSW-FRP (primera opción)</t>
        </is>
      </c>
      <c r="B109" s="60" t="inlineStr">
        <is>
          <t>PRFV poliéster ignífugo, opción velo Nexus</t>
        </is>
      </c>
      <c r="C109" s="60" t="inlineStr">
        <is>
          <t>Prime Lines HVAC, Bogotá (representante oficial)</t>
        </is>
      </c>
      <c r="D109" s="60" t="inlineStr">
        <is>
          <t>Catálogo (https://content.greenheck.com/public/DAMProd/Original/10002/BCSWFRP_catalog.pdf); rep. (https://www.greenheck.com/find-my-rep/2973_southamerica_colombia)</t>
        </is>
      </c>
      <c r="E109" s="61" t="n"/>
      <c r="F109" s="61" t="n"/>
    </row>
    <row r="110">
      <c r="A110" s="60" t="inlineStr">
        <is>
          <t>New York Blower FRP Fume Exhauster</t>
        </is>
      </c>
      <c r="B110" s="60" t="inlineStr">
        <is>
          <t>Rueda viniléster PRFV</t>
        </is>
      </c>
      <c r="C110" s="60" t="inlineStr">
        <is>
          <t>Importación (plazo máx. ~3 meses, dato cliente 2026-07-23)</t>
        </is>
      </c>
      <c r="D110" s="60" t="inlineStr">
        <is>
          <t>NYB (https://www.nyb.com/frp-fume-exhauster/)</t>
        </is>
      </c>
      <c r="E110" s="61" t="n"/>
      <c r="F110" s="61" t="n"/>
    </row>
    <row r="111">
      <c r="A111" s="60" t="inlineStr">
        <is>
          <t>Sodeca CPV</t>
        </is>
      </c>
      <c r="B111" s="60" t="inlineStr">
        <is>
          <t>Polipropileno</t>
        </is>
      </c>
      <c r="C111" s="60" t="inlineStr">
        <is>
          <t>Sodeca Colombia (filial, catálogo 60 Hz)</t>
        </is>
      </c>
      <c r="D111" s="60" t="inlineStr">
        <is>
          <t>CPV (https://www.sodeca.com/es/sistemas-de-ventilacion-extraccion/cpv-p1000000071)</t>
        </is>
      </c>
      <c r="E111" s="61" t="n"/>
      <c r="F111" s="61" t="n"/>
    </row>
    <row r="112">
      <c r="A112" s="60" t="inlineStr">
        <is>
          <t>Plastec 25/30</t>
        </is>
      </c>
      <c r="B112" s="60" t="inlineStr">
        <is>
          <t>Polipropileno, sin metal en corriente</t>
        </is>
      </c>
      <c r="C112" s="60" t="inlineStr">
        <is>
          <t>Importación directa (despacho 48 h declarado)</t>
        </is>
      </c>
      <c r="D112" s="60" t="inlineStr">
        <is>
          <t>Plastec (https://www.plastecventilation.com/collections/plastec-series)</t>
        </is>
      </c>
      <c r="E112" s="61" t="n"/>
      <c r="F112" s="61" t="n"/>
    </row>
    <row r="113">
      <c r="A113" s="60" t="inlineStr">
        <is>
          <t>Soler &amp; Palau línea PP</t>
        </is>
      </c>
      <c r="B113" s="60" t="inlineStr">
        <is>
          <t>Polipropileno</t>
        </is>
      </c>
      <c r="C113" s="60" t="inlineStr">
        <is>
          <t>S&amp;P Colombia (filial); modelo por confirmar</t>
        </is>
      </c>
      <c r="D113" s="60" t="inlineStr">
        <is>
          <t>Catálogo Industrial (PDF) (https://www.solerpalau.mx/ASW/recursos/cata/Industrial.pdf)</t>
        </is>
      </c>
      <c r="E113" s="61" t="n"/>
      <c r="F113" s="61" t="n"/>
    </row>
    <row r="116">
      <c r="A116" s="62" t="inlineStr">
        <is>
          <t>8. Normas aplicables</t>
        </is>
      </c>
    </row>
    <row r="117">
      <c r="A117" s="63" t="inlineStr">
        <is>
          <t>8.1. AMCA 210/211 (desempeño y certificación), AMCA 99 (Spark A), ASTM C582 y ASTM D4167 (laminados PRFV), NEMA MG-1 / IEC 60034-1 (motores y derateo por altitud), IEEE 841 (ejecución severe duty de referencia), RETIE y NTC 2050 (instalación eléctrica), ISO 12944 / prácticas NACE-AMPP (protección anticorrosiva del entorno de instalación).</t>
        </is>
      </c>
    </row>
    <row r="118"/>
    <row r="119"/>
    <row r="120"/>
    <row r="121"/>
  </sheetData>
  <mergeCells count="73">
    <mergeCell ref="C48:F48"/>
    <mergeCell ref="A19:F22"/>
    <mergeCell ref="A106:F107"/>
    <mergeCell ref="A80:F80"/>
    <mergeCell ref="A27:F27"/>
    <mergeCell ref="B66:F66"/>
    <mergeCell ref="B31:F31"/>
    <mergeCell ref="A105:F105"/>
    <mergeCell ref="A18:F18"/>
    <mergeCell ref="A28:F29"/>
    <mergeCell ref="B70:F70"/>
    <mergeCell ref="B12:F12"/>
    <mergeCell ref="D112:F112"/>
    <mergeCell ref="N3:O3"/>
    <mergeCell ref="A40:F41"/>
    <mergeCell ref="B86:F86"/>
    <mergeCell ref="A116:F116"/>
    <mergeCell ref="B11:F11"/>
    <mergeCell ref="N2:O2"/>
    <mergeCell ref="B67:F67"/>
    <mergeCell ref="B14:F14"/>
    <mergeCell ref="N5:O5"/>
    <mergeCell ref="C42:F42"/>
    <mergeCell ref="A96:F96"/>
    <mergeCell ref="N1:O1"/>
    <mergeCell ref="B13:F13"/>
    <mergeCell ref="B88:F88"/>
    <mergeCell ref="C2:L3"/>
    <mergeCell ref="B82:F82"/>
    <mergeCell ref="D113:F113"/>
    <mergeCell ref="A23:F25"/>
    <mergeCell ref="C45:F45"/>
    <mergeCell ref="B69:F69"/>
    <mergeCell ref="B87:F87"/>
    <mergeCell ref="B34:F34"/>
    <mergeCell ref="B10:F10"/>
    <mergeCell ref="A72:F78"/>
    <mergeCell ref="D110:F110"/>
    <mergeCell ref="A9:F9"/>
    <mergeCell ref="A56:F59"/>
    <mergeCell ref="C47:F47"/>
    <mergeCell ref="B84:F84"/>
    <mergeCell ref="A39:F39"/>
    <mergeCell ref="A1:A5"/>
    <mergeCell ref="C1:L1"/>
    <mergeCell ref="D109:F109"/>
    <mergeCell ref="C44:F44"/>
    <mergeCell ref="B30:F30"/>
    <mergeCell ref="B65:F65"/>
    <mergeCell ref="A50:F55"/>
    <mergeCell ref="B68:F68"/>
    <mergeCell ref="B83:F83"/>
    <mergeCell ref="A97:F103"/>
    <mergeCell ref="A117:F121"/>
    <mergeCell ref="B64:F64"/>
    <mergeCell ref="B15:F15"/>
    <mergeCell ref="B33:F33"/>
    <mergeCell ref="C43:F43"/>
    <mergeCell ref="B89:F89"/>
    <mergeCell ref="C4:L6"/>
    <mergeCell ref="N6:O6"/>
    <mergeCell ref="C46:F46"/>
    <mergeCell ref="A61:F61"/>
    <mergeCell ref="D111:F111"/>
    <mergeCell ref="B63:F63"/>
    <mergeCell ref="B85:F85"/>
    <mergeCell ref="B36:F36"/>
    <mergeCell ref="D108:F108"/>
    <mergeCell ref="B32:F32"/>
    <mergeCell ref="A91:F94"/>
    <mergeCell ref="B1:B5"/>
    <mergeCell ref="N4:O4"/>
    <mergeCell ref="B35:F3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Arboleda Genes</dc:creator>
  <dcterms:created xsi:type="dcterms:W3CDTF">2022-01-25T18:39:15Z</dcterms:created>
  <dcterms:modified xsi:type="dcterms:W3CDTF">2026-07-24T20:52:57Z</dcterms:modified>
  <cp:lastModifiedBy>JAG DESIGN</cp:lastModifiedBy>
  <cp:lastPrinted>2026-07-23T18:36:47Z</cp:lastPrinted>
</cp:coreProperties>
</file>