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i val="1"/>
      <color rgb="00404040"/>
      <sz val="10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Relationship Type="http://schemas.openxmlformats.org/officeDocument/2006/relationships/image" Target="/xl/media/image5.png" Id="rId3" /><Relationship Type="http://schemas.openxmlformats.org/officeDocument/2006/relationships/image" Target="/xl/media/image6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4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  <oneCellAnchor>
    <from>
      <col>0</col>
      <colOff>0</colOff>
      <row>109</row>
      <rowOff>0</rowOff>
    </from>
    <ext cx="5715000" cy="3810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130</row>
      <rowOff>0</rowOff>
    </from>
    <ext cx="5715000" cy="3810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VENTILADOR CENTRÍFUGO PRFV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ventilador de impulsión</t>
        </is>
      </c>
    </row>
    <row r="10">
      <c r="A10" s="59" t="inlineStr">
        <is>
          <t>Campo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inlineStr">
        <is>
          <t>Valor</t>
        </is>
      </c>
      <c r="J10" s="59" t="n"/>
      <c r="K10" s="59" t="n"/>
      <c r="L10" s="59" t="n"/>
      <c r="M10" s="59" t="n"/>
      <c r="N10" s="59" t="n"/>
      <c r="O10" s="59" t="n"/>
    </row>
    <row r="11">
      <c r="A11" s="60" t="inlineStr">
        <is>
          <t>Código</t>
        </is>
      </c>
      <c r="B11" s="61" t="n"/>
      <c r="C11" s="61" t="n"/>
      <c r="D11" s="61" t="n"/>
      <c r="E11" s="61" t="n"/>
      <c r="F11" s="61" t="n"/>
      <c r="G11" s="61" t="n"/>
      <c r="H11" s="61" t="n"/>
      <c r="I11" s="60" t="inlineStr">
        <is>
          <t>HD-VENT-001</t>
        </is>
      </c>
      <c r="J11" s="61" t="n"/>
      <c r="K11" s="61" t="n"/>
      <c r="L11" s="61" t="n"/>
      <c r="M11" s="61" t="n"/>
      <c r="N11" s="61" t="n"/>
      <c r="O11" s="61" t="n"/>
    </row>
    <row r="12">
      <c r="A12" s="60" t="inlineStr">
        <is>
          <t>Revisión</t>
        </is>
      </c>
      <c r="B12" s="61" t="n"/>
      <c r="C12" s="61" t="n"/>
      <c r="D12" s="61" t="n"/>
      <c r="E12" s="61" t="n"/>
      <c r="F12" s="61" t="n"/>
      <c r="G12" s="61" t="n"/>
      <c r="H12" s="61" t="n"/>
      <c r="I12" s="60" t="inlineStr">
        <is>
          <t>0</t>
        </is>
      </c>
      <c r="J12" s="61" t="n"/>
      <c r="K12" s="61" t="n"/>
      <c r="L12" s="61" t="n"/>
      <c r="M12" s="61" t="n"/>
      <c r="N12" s="61" t="n"/>
      <c r="O12" s="61" t="n"/>
    </row>
    <row r="13">
      <c r="A13" s="60" t="inlineStr">
        <is>
          <t>Fecha</t>
        </is>
      </c>
      <c r="B13" s="61" t="n"/>
      <c r="C13" s="61" t="n"/>
      <c r="D13" s="61" t="n"/>
      <c r="E13" s="61" t="n"/>
      <c r="F13" s="61" t="n"/>
      <c r="G13" s="61" t="n"/>
      <c r="H13" s="61" t="n"/>
      <c r="I13" s="60" t="inlineStr">
        <is>
          <t>2026-07-23</t>
        </is>
      </c>
      <c r="J13" s="61" t="n"/>
      <c r="K13" s="61" t="n"/>
      <c r="L13" s="61" t="n"/>
      <c r="M13" s="61" t="n"/>
      <c r="N13" s="61" t="n"/>
      <c r="O13" s="61" t="n"/>
    </row>
    <row r="14">
      <c r="A14" s="60" t="inlineStr">
        <is>
          <t>Proyecto</t>
        </is>
      </c>
      <c r="B14" s="61" t="n"/>
      <c r="C14" s="61" t="n"/>
      <c r="D14" s="61" t="n"/>
      <c r="E14" s="61" t="n"/>
      <c r="F14" s="61" t="n"/>
      <c r="G14" s="61" t="n"/>
      <c r="H14" s="61" t="n"/>
      <c r="I14" s="60" t="inlineStr">
        <is>
          <t>P2437-HV-INF-001 — BRINSA, laboratorio de análisis industrial, Cajicá</t>
        </is>
      </c>
      <c r="J14" s="61" t="n"/>
      <c r="K14" s="61" t="n"/>
      <c r="L14" s="61" t="n"/>
      <c r="M14" s="61" t="n"/>
      <c r="N14" s="61" t="n"/>
      <c r="O14" s="61" t="n"/>
    </row>
    <row r="15">
      <c r="A15" s="60" t="inlineStr">
        <is>
          <t>Etiqueta de equipo</t>
        </is>
      </c>
      <c r="B15" s="61" t="n"/>
      <c r="C15" s="61" t="n"/>
      <c r="D15" s="61" t="n"/>
      <c r="E15" s="61" t="n"/>
      <c r="F15" s="61" t="n"/>
      <c r="G15" s="61" t="n"/>
      <c r="H15" s="61" t="n"/>
      <c r="I15" s="60" t="inlineStr">
        <is>
          <t>VENT-001 (ventilador de impulsión / presurización)</t>
        </is>
      </c>
      <c r="J15" s="61" t="n"/>
      <c r="K15" s="61" t="n"/>
      <c r="L15" s="61" t="n"/>
      <c r="M15" s="61" t="n"/>
      <c r="N15" s="61" t="n"/>
      <c r="O15" s="61" t="n"/>
    </row>
    <row r="18">
      <c r="A18" s="62" t="inlineStr">
        <is>
          <t>1. Servicio</t>
        </is>
      </c>
    </row>
    <row r="19">
      <c r="A19" s="63" t="inlineStr">
        <is>
          <t>1.1. Impulsión de aire exterior filtrado (MERV 13-14) al laboratorio de análisis industrial para mantener presurización positiva de +25 Pa (mínimo +12.5 Pa) y excluir insectos, objetos extraños y polvo. Descarga directa al recinto, sin red de ductos de distribución. Operación continua.</t>
        </is>
      </c>
    </row>
    <row r="20"/>
    <row r="21"/>
    <row r="22">
      <c r="A22" s="63" t="inlineStr">
        <is>
          <t>1.2. Ambiente de instalación: exterior o semi-cubierto dentro de planta de hipoclorito de calcio; atmósfera con Cl₂/ClO⁻, polvo de Ca(ClO)₂ y humedad relativa media 84 %. Servicio clasificado como altamente corrosivo.</t>
        </is>
      </c>
    </row>
    <row r="23"/>
    <row r="25">
      <c r="A25" s="62" t="inlineStr">
        <is>
          <t>2. Condiciones de sitio</t>
        </is>
      </c>
    </row>
    <row r="26">
      <c r="A26" s="64" t="inlineStr">
        <is>
          <t>Tabla 1. Condiciones ambientales de diseño (fuentes en informe_investigacion.md §3.1; consulta 2026-07-23).</t>
        </is>
      </c>
    </row>
    <row r="27">
      <c r="A27" s="59" t="inlineStr">
        <is>
          <t>Parámetro</t>
        </is>
      </c>
      <c r="B27" s="59" t="n"/>
      <c r="C27" s="59" t="n"/>
      <c r="D27" s="59" t="n"/>
      <c r="E27" s="59" t="n"/>
      <c r="F27" s="59" t="n"/>
      <c r="G27" s="59" t="n"/>
      <c r="H27" s="59" t="n"/>
      <c r="I27" s="59" t="inlineStr">
        <is>
          <t>Valor</t>
        </is>
      </c>
      <c r="J27" s="59" t="n"/>
      <c r="K27" s="59" t="n"/>
      <c r="L27" s="59" t="n"/>
      <c r="M27" s="59" t="n"/>
      <c r="N27" s="59" t="n"/>
      <c r="O27" s="59" t="n"/>
    </row>
    <row r="28">
      <c r="A28" s="60" t="inlineStr">
        <is>
          <t>Altitud</t>
        </is>
      </c>
      <c r="B28" s="61" t="n"/>
      <c r="C28" s="61" t="n"/>
      <c r="D28" s="61" t="n"/>
      <c r="E28" s="61" t="n"/>
      <c r="F28" s="61" t="n"/>
      <c r="G28" s="61" t="n"/>
      <c r="H28" s="61" t="n"/>
      <c r="I28" s="60" t="inlineStr">
        <is>
          <t>2 558 msnm</t>
        </is>
      </c>
      <c r="J28" s="61" t="n"/>
      <c r="K28" s="61" t="n"/>
      <c r="L28" s="61" t="n"/>
      <c r="M28" s="61" t="n"/>
      <c r="N28" s="61" t="n"/>
      <c r="O28" s="61" t="n"/>
    </row>
    <row r="29">
      <c r="A29" s="60" t="inlineStr">
        <is>
          <t>Presión atmosférica</t>
        </is>
      </c>
      <c r="B29" s="61" t="n"/>
      <c r="C29" s="61" t="n"/>
      <c r="D29" s="61" t="n"/>
      <c r="E29" s="61" t="n"/>
      <c r="F29" s="61" t="n"/>
      <c r="G29" s="61" t="n"/>
      <c r="H29" s="61" t="n"/>
      <c r="I29" s="60" t="inlineStr">
        <is>
          <t>74.1 kPa</t>
        </is>
      </c>
      <c r="J29" s="61" t="n"/>
      <c r="K29" s="61" t="n"/>
      <c r="L29" s="61" t="n"/>
      <c r="M29" s="61" t="n"/>
      <c r="N29" s="61" t="n"/>
      <c r="O29" s="61" t="n"/>
    </row>
    <row r="30">
      <c r="A30" s="60" t="inlineStr">
        <is>
          <t>Temperatura de diseño verano / invierno / media</t>
        </is>
      </c>
      <c r="B30" s="61" t="n"/>
      <c r="C30" s="61" t="n"/>
      <c r="D30" s="61" t="n"/>
      <c r="E30" s="61" t="n"/>
      <c r="F30" s="61" t="n"/>
      <c r="G30" s="61" t="n"/>
      <c r="H30" s="61" t="n"/>
      <c r="I30" s="60" t="inlineStr">
        <is>
          <t>21 °C / 3 °C / 14 °C</t>
        </is>
      </c>
      <c r="J30" s="61" t="n"/>
      <c r="K30" s="61" t="n"/>
      <c r="L30" s="61" t="n"/>
      <c r="M30" s="61" t="n"/>
      <c r="N30" s="61" t="n"/>
      <c r="O30" s="61" t="n"/>
    </row>
    <row r="31">
      <c r="A31" s="60" t="inlineStr">
        <is>
          <t>Humedad relativa media anual</t>
        </is>
      </c>
      <c r="B31" s="61" t="n"/>
      <c r="C31" s="61" t="n"/>
      <c r="D31" s="61" t="n"/>
      <c r="E31" s="61" t="n"/>
      <c r="F31" s="61" t="n"/>
      <c r="G31" s="61" t="n"/>
      <c r="H31" s="61" t="n"/>
      <c r="I31" s="60" t="inlineStr">
        <is>
          <t>84 %</t>
        </is>
      </c>
      <c r="J31" s="61" t="n"/>
      <c r="K31" s="61" t="n"/>
      <c r="L31" s="61" t="n"/>
      <c r="M31" s="61" t="n"/>
      <c r="N31" s="61" t="n"/>
      <c r="O31" s="61" t="n"/>
    </row>
    <row r="32">
      <c r="A32" s="60" t="inlineStr">
        <is>
          <t>Densidad del aire de diseño</t>
        </is>
      </c>
      <c r="B32" s="61" t="n"/>
      <c r="C32" s="61" t="n"/>
      <c r="D32" s="61" t="n"/>
      <c r="E32" s="61" t="n"/>
      <c r="F32" s="61" t="n"/>
      <c r="G32" s="61" t="n"/>
      <c r="H32" s="61" t="n"/>
      <c r="I32" s="60" t="inlineStr">
        <is>
          <t>0.88 kg/m³ a 20 °C (0.87 kg/m³ en condición 0.4 %)</t>
        </is>
      </c>
      <c r="J32" s="61" t="n"/>
      <c r="K32" s="61" t="n"/>
      <c r="L32" s="61" t="n"/>
      <c r="M32" s="61" t="n"/>
      <c r="N32" s="61" t="n"/>
      <c r="O32" s="61" t="n"/>
    </row>
    <row r="33">
      <c r="A33" s="60" t="inlineStr">
        <is>
          <t>Factor de densidad k (vs. catálogo 1.2 kg/m³)</t>
        </is>
      </c>
      <c r="B33" s="61" t="n"/>
      <c r="C33" s="61" t="n"/>
      <c r="D33" s="61" t="n"/>
      <c r="E33" s="61" t="n"/>
      <c r="F33" s="61" t="n"/>
      <c r="G33" s="61" t="n"/>
      <c r="H33" s="61" t="n"/>
      <c r="I33" s="60" t="inlineStr">
        <is>
          <t>0.733</t>
        </is>
      </c>
      <c r="J33" s="61" t="n"/>
      <c r="K33" s="61" t="n"/>
      <c r="L33" s="61" t="n"/>
      <c r="M33" s="61" t="n"/>
      <c r="N33" s="61" t="n"/>
      <c r="O33" s="61" t="n"/>
    </row>
    <row r="36">
      <c r="A36" s="62" t="inlineStr">
        <is>
          <t>3. Punto de trabajo</t>
        </is>
      </c>
    </row>
    <row r="37">
      <c r="A37" s="64" t="inlineStr">
        <is>
          <t>Tabla 2. Punto de trabajo en el sitio y punto equivalente de selección en catálogo.</t>
        </is>
      </c>
    </row>
    <row r="38">
      <c r="A38" s="59" t="inlineStr">
        <is>
          <t>Magnitud</t>
        </is>
      </c>
      <c r="B38" s="59" t="n"/>
      <c r="C38" s="59" t="n"/>
      <c r="D38" s="59" t="n"/>
      <c r="E38" s="59" t="n"/>
      <c r="F38" s="59" t="inlineStr">
        <is>
          <t>En el sitio (ρ = 0.88 kg/m³)</t>
        </is>
      </c>
      <c r="G38" s="59" t="n"/>
      <c r="H38" s="59" t="n"/>
      <c r="I38" s="59" t="n"/>
      <c r="J38" s="59" t="n"/>
      <c r="K38" s="59" t="inlineStr">
        <is>
          <t>Equivalente catálogo (ρ = 1.2 kg/m³)</t>
        </is>
      </c>
      <c r="L38" s="59" t="n"/>
      <c r="M38" s="59" t="n"/>
      <c r="N38" s="59" t="n"/>
      <c r="O38" s="59" t="n"/>
    </row>
    <row r="39">
      <c r="A39" s="60" t="inlineStr">
        <is>
          <t>Caudal</t>
        </is>
      </c>
      <c r="B39" s="61" t="n"/>
      <c r="C39" s="61" t="n"/>
      <c r="D39" s="61" t="n"/>
      <c r="E39" s="61" t="n"/>
      <c r="F39" s="60" t="inlineStr">
        <is>
          <t>3 840 m³/h = 64 m³/min = 1.0667 m³/s = 2 260 CFM</t>
        </is>
      </c>
      <c r="G39" s="61" t="n"/>
      <c r="H39" s="61" t="n"/>
      <c r="I39" s="61" t="n"/>
      <c r="J39" s="61" t="n"/>
      <c r="K39" s="60" t="inlineStr">
        <is>
          <t>Sin cambio (máquina de volumen constante)</t>
        </is>
      </c>
      <c r="L39" s="61" t="n"/>
      <c r="M39" s="61" t="n"/>
      <c r="N39" s="61" t="n"/>
      <c r="O39" s="61" t="n"/>
    </row>
    <row r="40">
      <c r="A40" s="60" t="inlineStr">
        <is>
          <t>ΔP total, escenario de diseño (filtro cargado)</t>
        </is>
      </c>
      <c r="B40" s="61" t="n"/>
      <c r="C40" s="61" t="n"/>
      <c r="D40" s="61" t="n"/>
      <c r="E40" s="61" t="n"/>
      <c r="F40" s="60" t="inlineStr">
        <is>
          <t>190 Pa</t>
        </is>
      </c>
      <c r="G40" s="61" t="n"/>
      <c r="H40" s="61" t="n"/>
      <c r="I40" s="61" t="n"/>
      <c r="J40" s="61" t="n"/>
      <c r="K40" s="60" t="inlineStr">
        <is>
          <t>260 Pa</t>
        </is>
      </c>
      <c r="L40" s="61" t="n"/>
      <c r="M40" s="61" t="n"/>
      <c r="N40" s="61" t="n"/>
      <c r="O40" s="61" t="n"/>
    </row>
    <row r="41">
      <c r="A41" s="60" t="inlineStr">
        <is>
          <t>ΔP total, escenario filtro limpio</t>
        </is>
      </c>
      <c r="B41" s="61" t="n"/>
      <c r="C41" s="61" t="n"/>
      <c r="D41" s="61" t="n"/>
      <c r="E41" s="61" t="n"/>
      <c r="F41" s="60" t="inlineStr">
        <is>
          <t>95 Pa</t>
        </is>
      </c>
      <c r="G41" s="61" t="n"/>
      <c r="H41" s="61" t="n"/>
      <c r="I41" s="61" t="n"/>
      <c r="J41" s="61" t="n"/>
      <c r="K41" s="60" t="inlineStr">
        <is>
          <t>130 Pa</t>
        </is>
      </c>
      <c r="L41" s="61" t="n"/>
      <c r="M41" s="61" t="n"/>
      <c r="N41" s="61" t="n"/>
      <c r="O41" s="61" t="n"/>
    </row>
    <row r="42">
      <c r="A42" s="60" t="inlineStr">
        <is>
          <t>Composición ΔP diseño</t>
        </is>
      </c>
      <c r="B42" s="61" t="n"/>
      <c r="C42" s="61" t="n"/>
      <c r="D42" s="61" t="n"/>
      <c r="E42" s="61" t="n"/>
      <c r="F42" s="60" t="inlineStr">
        <is>
          <t>Filtro 154 Pa + presurización 25 Pa + rejillas 11 Pa</t>
        </is>
      </c>
      <c r="G42" s="61" t="n"/>
      <c r="H42" s="61" t="n"/>
      <c r="I42" s="61" t="n"/>
      <c r="J42" s="61" t="n"/>
      <c r="K42" s="60" t="inlineStr">
        <is>
          <t>Filtro 210 Pa + 34 Pa + 15 Pa</t>
        </is>
      </c>
      <c r="L42" s="61" t="n"/>
      <c r="M42" s="61" t="n"/>
      <c r="N42" s="61" t="n"/>
      <c r="O42" s="61" t="n"/>
    </row>
    <row r="43">
      <c r="A43" s="60" t="inlineStr">
        <is>
          <t>Velocidad de inyección</t>
        </is>
      </c>
      <c r="B43" s="61" t="n"/>
      <c r="C43" s="61" t="n"/>
      <c r="D43" s="61" t="n"/>
      <c r="E43" s="61" t="n"/>
      <c r="F43" s="60" t="inlineStr">
        <is>
          <t>8 m/s (presión dinámica 28 Pa en el sitio)</t>
        </is>
      </c>
      <c r="G43" s="61" t="n"/>
      <c r="H43" s="61" t="n"/>
      <c r="I43" s="61" t="n"/>
      <c r="J43" s="61" t="n"/>
      <c r="K43" s="60" t="inlineStr">
        <is>
          <t>—</t>
        </is>
      </c>
      <c r="L43" s="61" t="n"/>
      <c r="M43" s="61" t="n"/>
      <c r="N43" s="61" t="n"/>
      <c r="O43" s="61" t="n"/>
    </row>
    <row r="44">
      <c r="A44" s="60" t="inlineStr">
        <is>
          <t>Potencia teórica al freno (η = 0.60)</t>
        </is>
      </c>
      <c r="B44" s="61" t="n"/>
      <c r="C44" s="61" t="n"/>
      <c r="D44" s="61" t="n"/>
      <c r="E44" s="61" t="n"/>
      <c r="F44" s="60" t="inlineStr">
        <is>
          <t>0.338 kW = 0.45 HP</t>
        </is>
      </c>
      <c r="G44" s="61" t="n"/>
      <c r="H44" s="61" t="n"/>
      <c r="I44" s="61" t="n"/>
      <c r="J44" s="61" t="n"/>
      <c r="K44" s="60" t="inlineStr">
        <is>
          <t>—</t>
        </is>
      </c>
      <c r="L44" s="61" t="n"/>
      <c r="M44" s="61" t="n"/>
      <c r="N44" s="61" t="n"/>
      <c r="O44" s="61" t="n"/>
    </row>
    <row r="46">
      <c r="A46" s="63" t="inlineStr">
        <is>
          <t>3.1. La selección se efectúa sobre catálogo a densidad estándar en el punto 3 840 m³/h @ 260 Pa, aplicando las leyes de los ventiladores (P ∝ ρ, potencia ∝ ρ, Q constante) según Twin City Fan FE-1600 (http://eu.tcf.com/wp-content/uploads/sites/4/2018/06/Temperature-Altitude-Effects-on-Fans-FE-1600-1.pdf) (consulta 2026-07-23). Tamaño y RPM exactos: por confirmar con proveedor mediante su software de selección.</t>
        </is>
      </c>
    </row>
    <row r="47"/>
    <row r="48"/>
    <row r="49"/>
    <row r="50">
      <c r="A50" s="63" t="inlineStr">
        <is>
          <t>3.2. El ventilador seleccionado entregará en el sitio el mismo caudal a las mismas RPM, con presión y potencia reducidas en el factor 0.733; el margen sobre la potencia de eje (motor 1.0 HP vs. 0.45 HP teóricos) absorbe el derateo por altitud de NEMA MG-1 (≈9 % a 2 558 msnm) y el factor de servicio.</t>
        </is>
      </c>
    </row>
    <row r="51"/>
    <row r="52"/>
    <row r="54">
      <c r="A54" s="62" t="inlineStr">
        <is>
          <t>4. Tipo y materiales de construcción</t>
        </is>
      </c>
    </row>
    <row r="55">
      <c r="A55" s="64" t="inlineStr">
        <is>
          <t>Tabla 3. Requisitos de construcción.</t>
        </is>
      </c>
    </row>
    <row r="56">
      <c r="A56" s="59" t="inlineStr">
        <is>
          <t>Componente</t>
        </is>
      </c>
      <c r="B56" s="59" t="n"/>
      <c r="C56" s="59" t="n"/>
      <c r="D56" s="59" t="n"/>
      <c r="E56" s="59" t="n"/>
      <c r="F56" s="59" t="n"/>
      <c r="G56" s="59" t="n"/>
      <c r="H56" s="59" t="n"/>
      <c r="I56" s="59" t="inlineStr">
        <is>
          <t>Especificación</t>
        </is>
      </c>
      <c r="J56" s="59" t="n"/>
      <c r="K56" s="59" t="n"/>
      <c r="L56" s="59" t="n"/>
      <c r="M56" s="59" t="n"/>
      <c r="N56" s="59" t="n"/>
      <c r="O56" s="59" t="n"/>
    </row>
    <row r="57">
      <c r="A57" s="60" t="inlineStr">
        <is>
          <t>Tipo</t>
        </is>
      </c>
      <c r="B57" s="61" t="n"/>
      <c r="C57" s="61" t="n"/>
      <c r="D57" s="61" t="n"/>
      <c r="E57" s="61" t="n"/>
      <c r="F57" s="61" t="n"/>
      <c r="G57" s="61" t="n"/>
      <c r="H57" s="61" t="n"/>
      <c r="I57" s="60" t="inlineStr">
        <is>
          <t>Centrífugo, álabes curvados hacia atrás, simple aspiración, transmisión directa o por bandas (dato típico según línea seleccionada)</t>
        </is>
      </c>
      <c r="J57" s="61" t="n"/>
      <c r="K57" s="61" t="n"/>
      <c r="L57" s="61" t="n"/>
      <c r="M57" s="61" t="n"/>
      <c r="N57" s="61" t="n"/>
      <c r="O57" s="61" t="n"/>
    </row>
    <row r="58">
      <c r="A58" s="60" t="inlineStr">
        <is>
          <t>Carcasa y rueda</t>
        </is>
      </c>
      <c r="B58" s="61" t="n"/>
      <c r="C58" s="61" t="n"/>
      <c r="D58" s="61" t="n"/>
      <c r="E58" s="61" t="n"/>
      <c r="F58" s="61" t="n"/>
      <c r="G58" s="61" t="n"/>
      <c r="H58" s="61" t="n"/>
      <c r="I58" s="60" t="inlineStr">
        <is>
          <t>PRFV con resina viniléster, laminado según ASTM C582/D4167 (primera opción) o polipropileno (alternativa); velo superficial para oxidantes fuertes donde el fabricante lo ofrezca</t>
        </is>
      </c>
      <c r="J58" s="61" t="n"/>
      <c r="K58" s="61" t="n"/>
      <c r="L58" s="61" t="n"/>
      <c r="M58" s="61" t="n"/>
      <c r="N58" s="61" t="n"/>
      <c r="O58" s="61" t="n"/>
    </row>
    <row r="59">
      <c r="A59" s="60" t="inlineStr">
        <is>
          <t>Elementos metálicos en la corriente</t>
        </is>
      </c>
      <c r="B59" s="61" t="n"/>
      <c r="C59" s="61" t="n"/>
      <c r="D59" s="61" t="n"/>
      <c r="E59" s="61" t="n"/>
      <c r="F59" s="61" t="n"/>
      <c r="G59" s="61" t="n"/>
      <c r="H59" s="61" t="n"/>
      <c r="I59" s="60" t="inlineStr">
        <is>
          <t>Ninguno (motor fuera de la corriente de aire)</t>
        </is>
      </c>
      <c r="J59" s="61" t="n"/>
      <c r="K59" s="61" t="n"/>
      <c r="L59" s="61" t="n"/>
      <c r="M59" s="61" t="n"/>
      <c r="N59" s="61" t="n"/>
      <c r="O59" s="61" t="n"/>
    </row>
    <row r="60">
      <c r="A60" s="60" t="inlineStr">
        <is>
          <t>Eje y buje</t>
        </is>
      </c>
      <c r="B60" s="61" t="n"/>
      <c r="C60" s="61" t="n"/>
      <c r="D60" s="61" t="n"/>
      <c r="E60" s="61" t="n"/>
      <c r="F60" s="61" t="n"/>
      <c r="G60" s="61" t="n"/>
      <c r="H60" s="61" t="n"/>
      <c r="I60" s="60" t="inlineStr">
        <is>
          <t>Encapsulados/protegidos contra la atmósfera clorada</t>
        </is>
      </c>
      <c r="J60" s="61" t="n"/>
      <c r="K60" s="61" t="n"/>
      <c r="L60" s="61" t="n"/>
      <c r="M60" s="61" t="n"/>
      <c r="N60" s="61" t="n"/>
      <c r="O60" s="61" t="n"/>
    </row>
    <row r="61">
      <c r="A61" s="60" t="inlineStr">
        <is>
          <t>Construcción contra chispa</t>
        </is>
      </c>
      <c r="B61" s="61" t="n"/>
      <c r="C61" s="61" t="n"/>
      <c r="D61" s="61" t="n"/>
      <c r="E61" s="61" t="n"/>
      <c r="F61" s="61" t="n"/>
      <c r="G61" s="61" t="n"/>
      <c r="H61" s="61" t="n"/>
      <c r="I61" s="60" t="inlineStr">
        <is>
          <t>AMCA 99 Spark A (dato típico de especificación para PRFV)</t>
        </is>
      </c>
      <c r="J61" s="61" t="n"/>
      <c r="K61" s="61" t="n"/>
      <c r="L61" s="61" t="n"/>
      <c r="M61" s="61" t="n"/>
      <c r="N61" s="61" t="n"/>
      <c r="O61" s="61" t="n"/>
    </row>
    <row r="62">
      <c r="A62" s="60" t="inlineStr">
        <is>
          <t>Certificación de desempeño</t>
        </is>
      </c>
      <c r="B62" s="61" t="n"/>
      <c r="C62" s="61" t="n"/>
      <c r="D62" s="61" t="n"/>
      <c r="E62" s="61" t="n"/>
      <c r="F62" s="61" t="n"/>
      <c r="G62" s="61" t="n"/>
      <c r="H62" s="61" t="n"/>
      <c r="I62" s="60" t="inlineStr">
        <is>
          <t>AMCA 210/211 (sello AMCA exigible)</t>
        </is>
      </c>
      <c r="J62" s="61" t="n"/>
      <c r="K62" s="61" t="n"/>
      <c r="L62" s="61" t="n"/>
      <c r="M62" s="61" t="n"/>
      <c r="N62" s="61" t="n"/>
      <c r="O62" s="61" t="n"/>
    </row>
    <row r="63">
      <c r="A63" s="60" t="inlineStr">
        <is>
          <t>Descartado</t>
        </is>
      </c>
      <c r="B63" s="61" t="n"/>
      <c r="C63" s="61" t="n"/>
      <c r="D63" s="61" t="n"/>
      <c r="E63" s="61" t="n"/>
      <c r="F63" s="61" t="n"/>
      <c r="G63" s="61" t="n"/>
      <c r="H63" s="61" t="n"/>
      <c r="I63" s="60" t="inlineStr">
        <is>
          <t>Axial PRFV (presión insuficiente con MERV 13-14); acero inoxidable en la corriente (picadura por cloruros); acero galvanizado</t>
        </is>
      </c>
      <c r="J63" s="61" t="n"/>
      <c r="K63" s="61" t="n"/>
      <c r="L63" s="61" t="n"/>
      <c r="M63" s="61" t="n"/>
      <c r="N63" s="61" t="n"/>
      <c r="O63" s="61" t="n"/>
    </row>
    <row r="65">
      <c r="A65" s="65" t="inlineStr">
        <is>
          <t>Justificación de materiales: las resinas viniléster tipo Derakane se especifican expresamente para cloro e hipoclorito (INEOS — Derakane Resin Selection Guide (http://www.ineos.com/globalassets/ineos-group/businesses/ineos-composites/markets/corrosion/derakane-resin-selection-guide.pdf), consulta 2026-07-23); el polipropileno ofrece alta resistencia a cloruros e hipoclorito a temperatura ambiente (Plastec (https://www.plastecventilation.com/collections/plastec-series), consulta 2026-07-23).</t>
        </is>
      </c>
    </row>
    <row r="66"/>
    <row r="67"/>
    <row r="68"/>
    <row r="69"/>
    <row r="71">
      <c r="A71" s="62" t="inlineStr">
        <is>
          <t>5. Motor</t>
        </is>
      </c>
    </row>
    <row r="72">
      <c r="A72" s="64" t="inlineStr">
        <is>
          <t>Tabla 4. Especificación del motor.</t>
        </is>
      </c>
    </row>
    <row r="73">
      <c r="A73" s="59" t="inlineStr">
        <is>
          <t>Parámetro</t>
        </is>
      </c>
      <c r="B73" s="59" t="n"/>
      <c r="C73" s="59" t="n"/>
      <c r="D73" s="59" t="n"/>
      <c r="E73" s="59" t="n"/>
      <c r="F73" s="59" t="n"/>
      <c r="G73" s="59" t="n"/>
      <c r="H73" s="59" t="n"/>
      <c r="I73" s="59" t="inlineStr">
        <is>
          <t>Valor</t>
        </is>
      </c>
      <c r="J73" s="59" t="n"/>
      <c r="K73" s="59" t="n"/>
      <c r="L73" s="59" t="n"/>
      <c r="M73" s="59" t="n"/>
      <c r="N73" s="59" t="n"/>
      <c r="O73" s="59" t="n"/>
    </row>
    <row r="74">
      <c r="A74" s="60" t="inlineStr">
        <is>
          <t>Potencia instalada</t>
        </is>
      </c>
      <c r="B74" s="61" t="n"/>
      <c r="C74" s="61" t="n"/>
      <c r="D74" s="61" t="n"/>
      <c r="E74" s="61" t="n"/>
      <c r="F74" s="61" t="n"/>
      <c r="G74" s="61" t="n"/>
      <c r="H74" s="61" t="n"/>
      <c r="I74" s="60" t="inlineStr">
        <is>
          <t>1.0 HP</t>
        </is>
      </c>
      <c r="J74" s="61" t="n"/>
      <c r="K74" s="61" t="n"/>
      <c r="L74" s="61" t="n"/>
      <c r="M74" s="61" t="n"/>
      <c r="N74" s="61" t="n"/>
      <c r="O74" s="61" t="n"/>
    </row>
    <row r="75">
      <c r="A75" s="60" t="inlineStr">
        <is>
          <t>Ejecución</t>
        </is>
      </c>
      <c r="B75" s="61" t="n"/>
      <c r="C75" s="61" t="n"/>
      <c r="D75" s="61" t="n"/>
      <c r="E75" s="61" t="n"/>
      <c r="F75" s="61" t="n"/>
      <c r="G75" s="61" t="n"/>
      <c r="H75" s="61" t="n"/>
      <c r="I75" s="60" t="inlineStr">
        <is>
          <t>TEFC, severe duty, pintura epóxica, protección interna anticorrosiva, sellos de eje en ambos extremos (referencia IEEE 841 o equivalente)</t>
        </is>
      </c>
      <c r="J75" s="61" t="n"/>
      <c r="K75" s="61" t="n"/>
      <c r="L75" s="61" t="n"/>
      <c r="M75" s="61" t="n"/>
      <c r="N75" s="61" t="n"/>
      <c r="O75" s="61" t="n"/>
    </row>
    <row r="76">
      <c r="A76" s="60" t="inlineStr">
        <is>
          <t>Velocidad</t>
        </is>
      </c>
      <c r="B76" s="61" t="n"/>
      <c r="C76" s="61" t="n"/>
      <c r="D76" s="61" t="n"/>
      <c r="E76" s="61" t="n"/>
      <c r="F76" s="61" t="n"/>
      <c r="G76" s="61" t="n"/>
      <c r="H76" s="61" t="n"/>
      <c r="I76" s="60" t="inlineStr">
        <is>
          <t>1 800 RPM (4 polos, 60 Hz) — dato típico</t>
        </is>
      </c>
      <c r="J76" s="61" t="n"/>
      <c r="K76" s="61" t="n"/>
      <c r="L76" s="61" t="n"/>
      <c r="M76" s="61" t="n"/>
      <c r="N76" s="61" t="n"/>
      <c r="O76" s="61" t="n"/>
    </row>
    <row r="77">
      <c r="A77" s="60" t="inlineStr">
        <is>
          <t>Aislamiento / protección</t>
        </is>
      </c>
      <c r="B77" s="61" t="n"/>
      <c r="C77" s="61" t="n"/>
      <c r="D77" s="61" t="n"/>
      <c r="E77" s="61" t="n"/>
      <c r="F77" s="61" t="n"/>
      <c r="G77" s="61" t="n"/>
      <c r="H77" s="61" t="n"/>
      <c r="I77" s="60" t="inlineStr">
        <is>
          <t>Clase F / IP55 mínimo (IP56 preferible)</t>
        </is>
      </c>
      <c r="J77" s="61" t="n"/>
      <c r="K77" s="61" t="n"/>
      <c r="L77" s="61" t="n"/>
      <c r="M77" s="61" t="n"/>
      <c r="N77" s="61" t="n"/>
      <c r="O77" s="61" t="n"/>
    </row>
    <row r="78">
      <c r="A78" s="60" t="inlineStr">
        <is>
          <t>Tensión / fases / frecuencia</t>
        </is>
      </c>
      <c r="B78" s="61" t="n"/>
      <c r="C78" s="61" t="n"/>
      <c r="D78" s="61" t="n"/>
      <c r="E78" s="61" t="n"/>
      <c r="F78" s="61" t="n"/>
      <c r="G78" s="61" t="n"/>
      <c r="H78" s="61" t="n"/>
      <c r="I78" s="60" t="inlineStr">
        <is>
          <t>440 V, 3φ, 60 Hz (confirmado por el cliente, 2026-07-23)</t>
        </is>
      </c>
      <c r="J78" s="61" t="n"/>
      <c r="K78" s="61" t="n"/>
      <c r="L78" s="61" t="n"/>
      <c r="M78" s="61" t="n"/>
      <c r="N78" s="61" t="n"/>
      <c r="O78" s="61" t="n"/>
    </row>
    <row r="79">
      <c r="A79" s="60" t="inlineStr">
        <is>
          <t>Derateo por altitud</t>
        </is>
      </c>
      <c r="B79" s="61" t="n"/>
      <c r="C79" s="61" t="n"/>
      <c r="D79" s="61" t="n"/>
      <c r="E79" s="61" t="n"/>
      <c r="F79" s="61" t="n"/>
      <c r="G79" s="61" t="n"/>
      <c r="H79" s="61" t="n"/>
      <c r="I79" s="60" t="inlineStr">
        <is>
          <t>≈9 % (NEMA MG-1); absorbido por el margen de selección (§3.2)</t>
        </is>
      </c>
      <c r="J79" s="61" t="n"/>
      <c r="K79" s="61" t="n"/>
      <c r="L79" s="61" t="n"/>
      <c r="M79" s="61" t="n"/>
      <c r="N79" s="61" t="n"/>
      <c r="O79" s="61" t="n"/>
    </row>
    <row r="80">
      <c r="A80" s="60" t="inlineStr">
        <is>
          <t>Accesorios</t>
        </is>
      </c>
      <c r="B80" s="61" t="n"/>
      <c r="C80" s="61" t="n"/>
      <c r="D80" s="61" t="n"/>
      <c r="E80" s="61" t="n"/>
      <c r="F80" s="61" t="n"/>
      <c r="G80" s="61" t="n"/>
      <c r="H80" s="61" t="n"/>
      <c r="I80" s="60" t="inlineStr">
        <is>
          <t>Calentador anticondensación si hay paradas largas (dato típico de buena práctica); caja de conexiones sellada, prensaestopas niquelados</t>
        </is>
      </c>
      <c r="J80" s="61" t="n"/>
      <c r="K80" s="61" t="n"/>
      <c r="L80" s="61" t="n"/>
      <c r="M80" s="61" t="n"/>
      <c r="N80" s="61" t="n"/>
      <c r="O80" s="61" t="n"/>
    </row>
    <row r="82">
      <c r="A82" s="65" t="inlineStr">
        <is>
          <t>Referencias de especificación: Leeson/Regal Severe Duty (PDF) (https://www.regalrexnord.com/-/media/documents/brands/literature/industries/leeson_product_catalog_1050.pdf); Baldor-Reliance IEEE 841XL (https://www.baldor.com/mvc/DownloadCenter/Files/9AKK108319) (consulta 2026-07-23).</t>
        </is>
      </c>
    </row>
    <row r="83"/>
    <row r="84"/>
    <row r="86">
      <c r="A86" s="62" t="inlineStr">
        <is>
          <t>6. Accesorios</t>
        </is>
      </c>
    </row>
    <row r="87">
      <c r="A87" s="63" t="inlineStr">
        <is>
          <t>6.1. Conexión flexible de descarga en hipalón (CSM) con bandas inox 316 (Hardcast Hypalon (PDF) (https://6c2bd45d09da3c66a408-2b16a407535c695c8a76f8b06a56f342.ssl.cf2.rackcdn.com/GWB%20%20eCatalog%2006-25-16.pdf), consulta 2026-07-23).</t>
        </is>
      </c>
    </row>
    <row r="88"/>
    <row r="89">
      <c r="A89" s="63" t="inlineStr">
        <is>
          <t>6.2. Bancada y soportes con ferretería inox 316 (A4) y aislamiento dieléctrico frente a estructura galvanizada.</t>
        </is>
      </c>
    </row>
    <row r="90">
      <c r="A90" s="63" t="inlineStr">
        <is>
          <t>6.3. Toma de aire ubicada a sotavento y alejada de las fuentes de cloro de la planta (recomendación de la investigación).</t>
        </is>
      </c>
    </row>
    <row r="91"/>
    <row r="92">
      <c r="A92" s="63" t="inlineStr">
        <is>
          <t>6.4. Guardamotor y tablero conforme a RETIE (ver listado_equipos.md, ítems 16-17).</t>
        </is>
      </c>
    </row>
    <row r="94">
      <c r="A94" s="62" t="inlineStr">
        <is>
          <t>7. Candidatos comerciales</t>
        </is>
      </c>
    </row>
    <row r="95">
      <c r="A95" s="64" t="inlineStr">
        <is>
          <t>Tabla 5. Candidatos (consulta 2026-07-23); tamaño/RPM final por confirmar con proveedor.</t>
        </is>
      </c>
    </row>
    <row r="96">
      <c r="A96" s="59" t="inlineStr">
        <is>
          <t>Fabricante / línea</t>
        </is>
      </c>
      <c r="B96" s="59" t="n"/>
      <c r="C96" s="59" t="n"/>
      <c r="D96" s="59" t="n"/>
      <c r="E96" s="59" t="inlineStr">
        <is>
          <t>Material</t>
        </is>
      </c>
      <c r="F96" s="59" t="n"/>
      <c r="G96" s="59" t="n"/>
      <c r="H96" s="59" t="n"/>
      <c r="I96" s="59" t="inlineStr">
        <is>
          <t>Canal en Colombia</t>
        </is>
      </c>
      <c r="J96" s="59" t="n"/>
      <c r="K96" s="59" t="n"/>
      <c r="L96" s="59" t="n"/>
      <c r="M96" s="59" t="inlineStr">
        <is>
          <t>Fuente</t>
        </is>
      </c>
      <c r="N96" s="59" t="n"/>
      <c r="O96" s="59" t="n"/>
    </row>
    <row r="97">
      <c r="A97" s="60" t="inlineStr">
        <is>
          <t>Greenheck BCSW-FRP (primera opción)</t>
        </is>
      </c>
      <c r="B97" s="61" t="n"/>
      <c r="C97" s="61" t="n"/>
      <c r="D97" s="61" t="n"/>
      <c r="E97" s="60" t="inlineStr">
        <is>
          <t>PRFV poliéster ignífugo, opción velo Nexus</t>
        </is>
      </c>
      <c r="F97" s="61" t="n"/>
      <c r="G97" s="61" t="n"/>
      <c r="H97" s="61" t="n"/>
      <c r="I97" s="60" t="inlineStr">
        <is>
          <t>Prime Lines HVAC, Bogotá (representante oficial)</t>
        </is>
      </c>
      <c r="J97" s="61" t="n"/>
      <c r="K97" s="61" t="n"/>
      <c r="L97" s="61" t="n"/>
      <c r="M97" s="60" t="inlineStr">
        <is>
          <t>Catálogo (https://content.greenheck.com/public/DAMProd/Original/10002/BCSWFRP_catalog.pdf); rep. (https://www.greenheck.com/find-my-rep/2973_southamerica_colombia)</t>
        </is>
      </c>
      <c r="N97" s="61" t="n"/>
      <c r="O97" s="61" t="n"/>
    </row>
    <row r="98">
      <c r="A98" s="60" t="inlineStr">
        <is>
          <t>New York Blower FRP Fume Exhauster</t>
        </is>
      </c>
      <c r="B98" s="61" t="n"/>
      <c r="C98" s="61" t="n"/>
      <c r="D98" s="61" t="n"/>
      <c r="E98" s="60" t="inlineStr">
        <is>
          <t>Rueda viniléster PRFV</t>
        </is>
      </c>
      <c r="F98" s="61" t="n"/>
      <c r="G98" s="61" t="n"/>
      <c r="H98" s="61" t="n"/>
      <c r="I98" s="60" t="inlineStr">
        <is>
          <t>Importación (plazo máx. ~3 meses, dato cliente 2026-07-23)</t>
        </is>
      </c>
      <c r="J98" s="61" t="n"/>
      <c r="K98" s="61" t="n"/>
      <c r="L98" s="61" t="n"/>
      <c r="M98" s="60" t="inlineStr">
        <is>
          <t>NYB (https://www.nyb.com/frp-fume-exhauster/)</t>
        </is>
      </c>
      <c r="N98" s="61" t="n"/>
      <c r="O98" s="61" t="n"/>
    </row>
    <row r="99">
      <c r="A99" s="60" t="inlineStr">
        <is>
          <t>Sodeca CPV</t>
        </is>
      </c>
      <c r="B99" s="61" t="n"/>
      <c r="C99" s="61" t="n"/>
      <c r="D99" s="61" t="n"/>
      <c r="E99" s="60" t="inlineStr">
        <is>
          <t>Polipropileno</t>
        </is>
      </c>
      <c r="F99" s="61" t="n"/>
      <c r="G99" s="61" t="n"/>
      <c r="H99" s="61" t="n"/>
      <c r="I99" s="60" t="inlineStr">
        <is>
          <t>Sodeca Colombia (filial, catálogo 60 Hz)</t>
        </is>
      </c>
      <c r="J99" s="61" t="n"/>
      <c r="K99" s="61" t="n"/>
      <c r="L99" s="61" t="n"/>
      <c r="M99" s="60" t="inlineStr">
        <is>
          <t>CPV (https://www.sodeca.com/es/sistemas-de-ventilacion-extraccion/cpv-p1000000071)</t>
        </is>
      </c>
      <c r="N99" s="61" t="n"/>
      <c r="O99" s="61" t="n"/>
    </row>
    <row r="100">
      <c r="A100" s="60" t="inlineStr">
        <is>
          <t>Plastec 25/30</t>
        </is>
      </c>
      <c r="B100" s="61" t="n"/>
      <c r="C100" s="61" t="n"/>
      <c r="D100" s="61" t="n"/>
      <c r="E100" s="60" t="inlineStr">
        <is>
          <t>Polipropileno, sin metal en corriente</t>
        </is>
      </c>
      <c r="F100" s="61" t="n"/>
      <c r="G100" s="61" t="n"/>
      <c r="H100" s="61" t="n"/>
      <c r="I100" s="60" t="inlineStr">
        <is>
          <t>Importación directa (despacho 48 h declarado)</t>
        </is>
      </c>
      <c r="J100" s="61" t="n"/>
      <c r="K100" s="61" t="n"/>
      <c r="L100" s="61" t="n"/>
      <c r="M100" s="60" t="inlineStr">
        <is>
          <t>Plastec (https://www.plastecventilation.com/collections/plastec-series)</t>
        </is>
      </c>
      <c r="N100" s="61" t="n"/>
      <c r="O100" s="61" t="n"/>
    </row>
    <row r="101">
      <c r="A101" s="60" t="inlineStr">
        <is>
          <t>Soler &amp; Palau línea PP</t>
        </is>
      </c>
      <c r="B101" s="61" t="n"/>
      <c r="C101" s="61" t="n"/>
      <c r="D101" s="61" t="n"/>
      <c r="E101" s="60" t="inlineStr">
        <is>
          <t>Polipropileno</t>
        </is>
      </c>
      <c r="F101" s="61" t="n"/>
      <c r="G101" s="61" t="n"/>
      <c r="H101" s="61" t="n"/>
      <c r="I101" s="60" t="inlineStr">
        <is>
          <t>S&amp;P Colombia (filial); modelo por confirmar</t>
        </is>
      </c>
      <c r="J101" s="61" t="n"/>
      <c r="K101" s="61" t="n"/>
      <c r="L101" s="61" t="n"/>
      <c r="M101" s="60" t="inlineStr">
        <is>
          <t>Catálogo Industrial (PDF) (https://www.solerpalau.mx/ASW/recursos/cata/Industrial.pdf)</t>
        </is>
      </c>
      <c r="N101" s="61" t="n"/>
      <c r="O101" s="61" t="n"/>
    </row>
    <row r="104">
      <c r="A104" s="62" t="inlineStr">
        <is>
          <t>8. Normas aplicables</t>
        </is>
      </c>
    </row>
    <row r="105">
      <c r="A105" s="63" t="inlineStr">
        <is>
          <t>8.1. AMCA 210/211 (desempeño y certificación), AMCA 99 (Spark A), ASTM C582 y ASTM D4167 (laminados PRFV), NEMA MG-1 / IEC 60034-1 (motores y derateo por altitud), IEEE 841 (ejecución severe duty de referencia), RETIE y NTC 2050 (instalación eléctrica), ISO 12944 / prácticas NACE-AMPP (protección anticorrosiva del entorno de instalación).</t>
        </is>
      </c>
    </row>
    <row r="106"/>
    <row r="107"/>
    <row r="108">
      <c r="A108" s="62" t="inlineStr">
        <is>
          <t>Referencia gráfica</t>
        </is>
      </c>
    </row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</sheetData>
  <mergeCells count="133">
    <mergeCell ref="A39:E39"/>
    <mergeCell ref="A25:O25"/>
    <mergeCell ref="A77:H77"/>
    <mergeCell ref="A97:D97"/>
    <mergeCell ref="A50:O52"/>
    <mergeCell ref="E97:H97"/>
    <mergeCell ref="N3:O3"/>
    <mergeCell ref="A104:O104"/>
    <mergeCell ref="E96:H96"/>
    <mergeCell ref="I30:O30"/>
    <mergeCell ref="K41:O41"/>
    <mergeCell ref="I77:O77"/>
    <mergeCell ref="A75:H75"/>
    <mergeCell ref="N5:O5"/>
    <mergeCell ref="C2:L3"/>
    <mergeCell ref="I80:O80"/>
    <mergeCell ref="E98:H98"/>
    <mergeCell ref="I61:O61"/>
    <mergeCell ref="K43:O43"/>
    <mergeCell ref="A90:O91"/>
    <mergeCell ref="I57:O57"/>
    <mergeCell ref="A87:O88"/>
    <mergeCell ref="A32:H32"/>
    <mergeCell ref="I32:O32"/>
    <mergeCell ref="A99:D99"/>
    <mergeCell ref="F39:J39"/>
    <mergeCell ref="A29:H29"/>
    <mergeCell ref="A43:E43"/>
    <mergeCell ref="I56:O56"/>
    <mergeCell ref="A101:D101"/>
    <mergeCell ref="E99:H99"/>
    <mergeCell ref="A13:H13"/>
    <mergeCell ref="A31:H31"/>
    <mergeCell ref="B1:B5"/>
    <mergeCell ref="A58:H58"/>
    <mergeCell ref="A46:O49"/>
    <mergeCell ref="I33:O33"/>
    <mergeCell ref="A82:O84"/>
    <mergeCell ref="E101:H101"/>
    <mergeCell ref="A15:H15"/>
    <mergeCell ref="A73:H73"/>
    <mergeCell ref="A108:O108"/>
    <mergeCell ref="A60:H60"/>
    <mergeCell ref="E100:H100"/>
    <mergeCell ref="I10:O10"/>
    <mergeCell ref="A18:O18"/>
    <mergeCell ref="I59:O59"/>
    <mergeCell ref="A86:O86"/>
    <mergeCell ref="I60:O60"/>
    <mergeCell ref="I74:O74"/>
    <mergeCell ref="N2:O2"/>
    <mergeCell ref="K44:O44"/>
    <mergeCell ref="F41:J41"/>
    <mergeCell ref="M97:O97"/>
    <mergeCell ref="A27:H27"/>
    <mergeCell ref="A98:D98"/>
    <mergeCell ref="K40:O40"/>
    <mergeCell ref="I11:O11"/>
    <mergeCell ref="I28:O28"/>
    <mergeCell ref="A62:H62"/>
    <mergeCell ref="A38:E38"/>
    <mergeCell ref="I96:L96"/>
    <mergeCell ref="N6:O6"/>
    <mergeCell ref="A28:H28"/>
    <mergeCell ref="I62:O62"/>
    <mergeCell ref="A40:E40"/>
    <mergeCell ref="I98:L98"/>
    <mergeCell ref="N4:O4"/>
    <mergeCell ref="A30:H30"/>
    <mergeCell ref="A54:O54"/>
    <mergeCell ref="A59:H59"/>
    <mergeCell ref="M99:O99"/>
    <mergeCell ref="A100:D100"/>
    <mergeCell ref="I79:O79"/>
    <mergeCell ref="I73:O73"/>
    <mergeCell ref="A79:H79"/>
    <mergeCell ref="A61:H61"/>
    <mergeCell ref="F40:J40"/>
    <mergeCell ref="I63:O63"/>
    <mergeCell ref="A65:O69"/>
    <mergeCell ref="I99:L99"/>
    <mergeCell ref="A105:O107"/>
    <mergeCell ref="A74:H74"/>
    <mergeCell ref="A56:H56"/>
    <mergeCell ref="I27:O27"/>
    <mergeCell ref="F38:J38"/>
    <mergeCell ref="A42:E42"/>
    <mergeCell ref="A76:H76"/>
    <mergeCell ref="A33:H33"/>
    <mergeCell ref="I76:O76"/>
    <mergeCell ref="M96:O96"/>
    <mergeCell ref="A1:A5"/>
    <mergeCell ref="A9:O9"/>
    <mergeCell ref="C1:L1"/>
    <mergeCell ref="K39:O39"/>
    <mergeCell ref="I97:L97"/>
    <mergeCell ref="I75:O75"/>
    <mergeCell ref="A19:O21"/>
    <mergeCell ref="M98:O98"/>
    <mergeCell ref="A36:O36"/>
    <mergeCell ref="K38:O38"/>
    <mergeCell ref="A10:H10"/>
    <mergeCell ref="A63:H63"/>
    <mergeCell ref="A94:O94"/>
    <mergeCell ref="I12:O12"/>
    <mergeCell ref="A44:E44"/>
    <mergeCell ref="F44:J44"/>
    <mergeCell ref="I14:O14"/>
    <mergeCell ref="A96:D96"/>
    <mergeCell ref="I29:O29"/>
    <mergeCell ref="A11:H11"/>
    <mergeCell ref="I78:O78"/>
    <mergeCell ref="I13:O13"/>
    <mergeCell ref="A78:H78"/>
    <mergeCell ref="I31:O31"/>
    <mergeCell ref="A71:O71"/>
    <mergeCell ref="A41:E41"/>
    <mergeCell ref="M101:O101"/>
    <mergeCell ref="F42:J42"/>
    <mergeCell ref="I15:O15"/>
    <mergeCell ref="A80:H80"/>
    <mergeCell ref="N1:O1"/>
    <mergeCell ref="M100:O100"/>
    <mergeCell ref="A12:H12"/>
    <mergeCell ref="I101:L101"/>
    <mergeCell ref="A57:H57"/>
    <mergeCell ref="K42:O42"/>
    <mergeCell ref="A14:H14"/>
    <mergeCell ref="I100:L100"/>
    <mergeCell ref="F43:J43"/>
    <mergeCell ref="C4:L6"/>
    <mergeCell ref="I58:O58"/>
    <mergeCell ref="A22:O2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2026-07-24T22:14:45Z</dcterms:modified>
  <cp:lastModifiedBy>JAG DESIGN</cp:lastModifiedBy>
  <cp:lastPrinted>2026-07-23T18:36:47Z</cp:lastPrinted>
</cp:coreProperties>
</file>