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ORTADA" sheetId="1" state="visible" r:id="rId1"/>
    <sheet name="ESPECIFICACIÓN" sheetId="2" state="visible" r:id="rId2"/>
  </sheets>
  <definedNames>
    <definedName name="_xlnm.Print_Area" localSheetId="0">'PORTADA'!$A$1:$BZ$66</definedName>
  </definedNames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00000000"/>
  </numFmts>
  <fonts count="30"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color theme="1"/>
      <sz val="11"/>
      <scheme val="minor"/>
    </font>
    <font>
      <name val="Verdana"/>
      <family val="2"/>
      <color rgb="FF00B050"/>
      <sz val="12"/>
    </font>
    <font>
      <name val="Verdana"/>
      <family val="2"/>
      <b val="1"/>
      <sz val="12"/>
    </font>
    <font>
      <name val="Verdana"/>
      <family val="2"/>
      <sz val="12"/>
    </font>
    <font>
      <name val="Verdana"/>
      <family val="2"/>
      <color theme="1"/>
      <sz val="12"/>
    </font>
    <font>
      <name val="Verdana"/>
      <family val="2"/>
      <color rgb="FFEAEAEA"/>
      <sz val="12"/>
    </font>
    <font>
      <name val="Verdana"/>
      <family val="2"/>
      <b val="1"/>
      <color theme="1"/>
      <sz val="12"/>
    </font>
    <font>
      <name val="Verdana"/>
      <family val="2"/>
      <b val="1"/>
      <color theme="1"/>
      <sz val="15"/>
    </font>
    <font>
      <name val="Verdana"/>
      <family val="2"/>
      <b val="1"/>
      <i val="1"/>
      <color theme="1"/>
      <sz val="15"/>
    </font>
    <font>
      <name val="Verdana"/>
      <family val="2"/>
      <color theme="1"/>
      <sz val="15"/>
    </font>
    <font>
      <name val="Verdana"/>
      <family val="2"/>
      <b val="1"/>
      <sz val="15"/>
    </font>
    <font>
      <name val="Calibri"/>
      <family val="2"/>
      <sz val="8"/>
      <scheme val="minor"/>
    </font>
    <font>
      <name val="Verdana"/>
      <family val="2"/>
      <color theme="1"/>
      <sz val="20"/>
    </font>
    <font>
      <name val="Verdana"/>
      <family val="2"/>
      <b val="1"/>
      <color rgb="FFFFFFFF"/>
      <sz val="22"/>
    </font>
    <font>
      <name val="Verdana"/>
      <family val="2"/>
      <b val="1"/>
      <color theme="1"/>
      <sz val="16"/>
    </font>
    <font>
      <name val="Times New Roman"/>
      <b val="1"/>
      <color rgb="00375623"/>
      <sz val="28"/>
    </font>
    <font>
      <name val="Times New Roman"/>
      <sz val="28"/>
    </font>
    <font>
      <name val="Times New Roman"/>
      <i val="1"/>
      <color rgb="00404040"/>
      <sz val="28"/>
    </font>
    <font>
      <name val="Times New Roman"/>
      <b val="1"/>
      <sz val="28"/>
    </font>
    <font>
      <name val="Times New Roman"/>
      <b val="1"/>
      <color theme="1"/>
      <sz val="15"/>
    </font>
    <font>
      <name val="Times New Roman"/>
      <b val="1"/>
      <i val="1"/>
      <color theme="1"/>
      <sz val="15"/>
    </font>
    <font>
      <name val="Times New Roman"/>
      <color theme="1"/>
      <sz val="11"/>
    </font>
    <font>
      <name val="Times New Roman"/>
      <color theme="1"/>
      <sz val="15"/>
    </font>
    <font>
      <name val="Times New Roman"/>
      <b val="1"/>
      <color theme="1"/>
      <sz val="16"/>
    </font>
    <font>
      <name val="Times New Roman"/>
      <color rgb="FF00B050"/>
      <sz val="12"/>
    </font>
    <font>
      <name val="Times New Roman"/>
      <b val="1"/>
      <sz val="12"/>
    </font>
    <font>
      <name val="Times New Roman"/>
      <color theme="1"/>
      <sz val="12"/>
    </font>
    <font>
      <name val="Times New Roman"/>
      <b val="1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C6E0B4"/>
        <bgColor rgb="00C6E0B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">
    <xf numFmtId="0" fontId="2" fillId="0" borderId="0"/>
    <xf numFmtId="0" fontId="2" fillId="0" borderId="0"/>
    <xf numFmtId="0" fontId="2" fillId="0" borderId="0"/>
    <xf numFmtId="43" fontId="2" fillId="0" borderId="0"/>
  </cellStyleXfs>
  <cellXfs count="8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2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left"/>
    </xf>
    <xf numFmtId="0" fontId="7" fillId="0" borderId="0" pivotButton="0" quotePrefix="0" xfId="2"/>
    <xf numFmtId="0" fontId="6" fillId="0" borderId="0" applyAlignment="1" pivotButton="0" quotePrefix="0" xfId="1">
      <alignment horizontal="left" vertical="center"/>
    </xf>
    <xf numFmtId="1" fontId="6" fillId="0" borderId="0" applyAlignment="1" pivotButton="0" quotePrefix="0" xfId="1">
      <alignment horizontal="center"/>
    </xf>
    <xf numFmtId="43" fontId="6" fillId="0" borderId="0" applyAlignment="1" pivotButton="0" quotePrefix="0" xfId="3">
      <alignment vertical="center"/>
    </xf>
    <xf numFmtId="0" fontId="6" fillId="0" borderId="0" applyAlignment="1" pivotButton="0" quotePrefix="0" xfId="1">
      <alignment vertical="center"/>
    </xf>
    <xf numFmtId="0" fontId="9" fillId="0" borderId="1" applyAlignment="1" pivotButton="0" quotePrefix="0" xfId="0">
      <alignment vertical="center" wrapText="1"/>
    </xf>
    <xf numFmtId="0" fontId="12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2">
      <alignment horizontal="right"/>
    </xf>
    <xf numFmtId="0" fontId="6" fillId="2" borderId="0" pivotButton="0" quotePrefix="0" xfId="2"/>
    <xf numFmtId="0" fontId="14" fillId="0" borderId="0" pivotButton="0" quotePrefix="0" xfId="0"/>
    <xf numFmtId="0" fontId="16" fillId="3" borderId="1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/>
    </xf>
    <xf numFmtId="164" fontId="6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165" fontId="5" fillId="0" borderId="1" applyAlignment="1" applyProtection="1" pivotButton="0" quotePrefix="0" xfId="1">
      <alignment horizontal="left" vertical="center" indent="1"/>
      <protection locked="1" hidden="1"/>
    </xf>
    <xf numFmtId="0" fontId="4" fillId="0" borderId="1" applyAlignment="1" pivotButton="0" quotePrefix="0" xfId="1">
      <alignment horizontal="left" vertical="center" indent="1"/>
    </xf>
    <xf numFmtId="0" fontId="5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/>
    </xf>
    <xf numFmtId="0" fontId="3" fillId="0" borderId="1" applyAlignment="1" pivotButton="0" quotePrefix="0" xfId="1">
      <alignment horizontal="left" vertical="center"/>
    </xf>
    <xf numFmtId="49" fontId="5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left" vertical="center" wrapText="1" indent="4"/>
    </xf>
    <xf numFmtId="0" fontId="15" fillId="0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164" fontId="1" fillId="0" borderId="1" applyAlignment="1" pivotButton="0" quotePrefix="0" xfId="1">
      <alignment horizontal="center" vertical="center" wrapText="1"/>
    </xf>
    <xf numFmtId="14" fontId="1" fillId="0" borderId="1" applyAlignment="1" pivotButton="0" quotePrefix="0" xfId="1">
      <alignment horizontal="center" vertical="center" wrapText="1"/>
    </xf>
    <xf numFmtId="165" fontId="1" fillId="0" borderId="1" applyAlignment="1" pivotButton="0" quotePrefix="0" xfId="1">
      <alignment horizontal="center" vertical="center" wrapText="1"/>
    </xf>
    <xf numFmtId="0" fontId="8" fillId="4" borderId="1" applyAlignment="1" pivotButton="0" quotePrefix="0" xfId="1">
      <alignment horizontal="center" vertical="center"/>
    </xf>
    <xf numFmtId="0" fontId="8" fillId="4" borderId="1" applyAlignment="1" pivotButton="0" quotePrefix="0" xfId="1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0" fontId="26" fillId="0" borderId="1" applyAlignment="1" pivotButton="0" quotePrefix="0" xfId="1">
      <alignment horizontal="center"/>
    </xf>
    <xf numFmtId="0" fontId="23" fillId="0" borderId="2" pivotButton="0" quotePrefix="0" xfId="0"/>
    <xf numFmtId="0" fontId="23" fillId="0" borderId="4" pivotButton="0" quotePrefix="0" xfId="0"/>
    <xf numFmtId="0" fontId="26" fillId="0" borderId="1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23" fillId="0" borderId="3" pivotButton="0" quotePrefix="0" xfId="0"/>
    <xf numFmtId="0" fontId="23" fillId="0" borderId="0" pivotButton="0" quotePrefix="0" xfId="0"/>
    <xf numFmtId="0" fontId="23" fillId="0" borderId="5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23" fillId="0" borderId="7" pivotButton="0" quotePrefix="0" xfId="0"/>
    <xf numFmtId="0" fontId="23" fillId="0" borderId="8" pivotButton="0" quotePrefix="0" xfId="0"/>
    <xf numFmtId="0" fontId="27" fillId="0" borderId="1" applyAlignment="1" pivotButton="0" quotePrefix="0" xfId="1">
      <alignment horizontal="center" vertical="center"/>
    </xf>
    <xf numFmtId="0" fontId="23" fillId="0" borderId="9" pivotButton="0" quotePrefix="0" xfId="0"/>
    <xf numFmtId="0" fontId="23" fillId="0" borderId="10" pivotButton="0" quotePrefix="0" xfId="0"/>
    <xf numFmtId="0" fontId="28" fillId="0" borderId="0" applyAlignment="1" pivotButton="0" quotePrefix="0" xfId="1">
      <alignment horizontal="center"/>
    </xf>
    <xf numFmtId="0" fontId="0" fillId="0" borderId="3" pivotButton="0" quotePrefix="0" xfId="0"/>
    <xf numFmtId="0" fontId="29" fillId="4" borderId="1" applyAlignment="1" pivotButton="0" quotePrefix="0" xfId="1">
      <alignment horizontal="center" vertical="center" wrapText="1"/>
    </xf>
    <xf numFmtId="0" fontId="23" fillId="0" borderId="1" applyAlignment="1" pivotButton="0" quotePrefix="0" xfId="1">
      <alignment horizontal="center" vertical="center" wrapText="1"/>
    </xf>
    <xf numFmtId="0" fontId="28" fillId="0" borderId="1" applyAlignment="1" pivotButton="0" quotePrefix="0" xfId="1">
      <alignment horizontal="center" vertical="center" wrapText="1"/>
    </xf>
    <xf numFmtId="0" fontId="28" fillId="0" borderId="0" applyAlignment="1" pivotButton="0" quotePrefix="0" xfId="1">
      <alignment horizontal="center" vertical="center" wrapText="1"/>
    </xf>
    <xf numFmtId="43" fontId="6" fillId="0" borderId="0" applyAlignment="1" pivotButton="0" quotePrefix="0" xfId="3">
      <alignment vertical="center"/>
    </xf>
    <xf numFmtId="0" fontId="21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vertical="center" wrapText="1"/>
    </xf>
    <xf numFmtId="0" fontId="24" fillId="0" borderId="1" applyAlignment="1" pivotButton="0" quotePrefix="0" xfId="0">
      <alignment horizontal="left" vertical="center" wrapText="1" indent="4"/>
    </xf>
    <xf numFmtId="0" fontId="23" fillId="0" borderId="11" pivotButton="0" quotePrefix="0" xfId="0"/>
    <xf numFmtId="0" fontId="23" fillId="0" borderId="12" pivotButton="0" quotePrefix="0" xfId="0"/>
    <xf numFmtId="0" fontId="25" fillId="3" borderId="1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 wrapText="1"/>
    </xf>
    <xf numFmtId="0" fontId="17" fillId="5" borderId="13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left" vertical="top" wrapText="1"/>
    </xf>
    <xf numFmtId="0" fontId="0" fillId="0" borderId="13" pivotButton="0" quotePrefix="0" xfId="0"/>
    <xf numFmtId="0" fontId="19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</cellXfs>
  <cellStyles count="4">
    <cellStyle name="Normal" xfId="0" builtinId="0"/>
    <cellStyle name="Normal 6" xfId="1"/>
    <cellStyle name="Normal 3 2" xfId="2"/>
    <cellStyle name="Millares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154215</colOff>
      <row>1</row>
      <rowOff>147735</rowOff>
    </from>
    <to>
      <col>23</col>
      <colOff>508000</colOff>
      <row>4</row>
      <rowOff>18144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11072" y="466531"/>
          <a:ext cx="2530928" cy="826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99786</colOff>
      <row>0</row>
      <rowOff>117927</rowOff>
    </from>
    <to>
      <col>12</col>
      <colOff>27213</colOff>
      <row>4</row>
      <rowOff>234424</rowOff>
    </to>
    <pic>
      <nvPicPr>
        <cNvPr id="4" name="Imagen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26572" y="117927"/>
          <a:ext cx="2422070" cy="138649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129035</colOff>
      <row>1</row>
      <rowOff>247887</rowOff>
    </from>
    <to>
      <col>1</col>
      <colOff>1995502</colOff>
      <row>3</row>
      <rowOff>246530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265623" y="613946"/>
          <a:ext cx="1866467" cy="7307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119531</colOff>
      <row>1</row>
      <rowOff>141942</rowOff>
    </from>
    <to>
      <col>0</col>
      <colOff>1972237</colOff>
      <row>3</row>
      <rowOff>343648</rowOff>
    </to>
    <pic>
      <nvPicPr>
        <cNvPr id="3" name="Imagen 2"/>
        <cNvPicPr>
          <a:picLocks noChangeAspect="1"/>
        </cNvPicPr>
      </nvPicPr>
      <blipFill rotWithShape="1">
        <a:blip r:embed="rId2"/>
        <a:srcRect l="4540" t="12476" r="4665" b="12920"/>
        <a:stretch>
          <a:fillRect/>
        </a:stretch>
      </blipFill>
      <spPr>
        <a:xfrm>
          <a:off x="119531" y="508001"/>
          <a:ext cx="1852706" cy="933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CD54"/>
  <sheetViews>
    <sheetView showGridLines="0" tabSelected="1" view="pageBreakPreview" zoomScale="70" zoomScaleNormal="25" zoomScaleSheetLayoutView="70" workbookViewId="0">
      <selection activeCell="BL12" sqref="BL12"/>
    </sheetView>
  </sheetViews>
  <sheetFormatPr baseColWidth="10" defaultColWidth="3.15234375" defaultRowHeight="12" customHeight="1"/>
  <cols>
    <col width="3.15234375" customWidth="1" style="3" min="1" max="22"/>
    <col width="5.23046875" customWidth="1" style="3" min="23" max="23"/>
    <col width="8.84375" customWidth="1" style="3" min="24" max="24"/>
    <col width="3.15234375" customWidth="1" style="3" min="25" max="48"/>
    <col width="3.15234375" customWidth="1" style="6" min="49" max="53"/>
    <col width="3.15234375" customWidth="1" style="3" min="54" max="79"/>
    <col width="54.4609375" customWidth="1" style="3" min="80" max="80"/>
    <col width="28.69140625" customWidth="1" style="3" min="81" max="81"/>
    <col width="3.15234375" customWidth="1" style="3" min="82" max="16384"/>
  </cols>
  <sheetData>
    <row r="1" ht="25" customFormat="1" customHeight="1" s="2">
      <c r="A1" s="44" t="n"/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6" t="n"/>
      <c r="N1" s="47" t="n"/>
      <c r="O1" s="45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9" t="n"/>
      <c r="Z1" s="27" t="inlineStr">
        <is>
          <t>DISEÑO DE INGENIERÍA</t>
        </is>
      </c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9" t="n"/>
      <c r="BC1" s="26" t="inlineStr">
        <is>
          <t>CODIGO:</t>
        </is>
      </c>
      <c r="BD1" s="50" t="n"/>
      <c r="BE1" s="50" t="n"/>
      <c r="BF1" s="50" t="n"/>
      <c r="BG1" s="50" t="n"/>
      <c r="BH1" s="50" t="n"/>
      <c r="BI1" s="50" t="n"/>
      <c r="BJ1" s="50" t="n"/>
      <c r="BK1" s="50" t="n"/>
      <c r="BL1" s="50" t="n"/>
      <c r="BM1" s="50" t="n"/>
      <c r="BN1" s="51" t="n"/>
      <c r="BO1" s="25" t="inlineStr">
        <is>
          <t>P2437-HV-DTS-003</t>
        </is>
      </c>
      <c r="BP1" s="52" t="n"/>
      <c r="BQ1" s="52" t="n"/>
      <c r="BR1" s="52" t="n"/>
      <c r="BS1" s="52" t="n"/>
      <c r="BT1" s="52" t="n"/>
      <c r="BU1" s="52" t="n"/>
      <c r="BV1" s="52" t="n"/>
      <c r="BW1" s="52" t="n"/>
      <c r="BX1" s="52" t="n"/>
      <c r="BY1" s="52" t="n"/>
      <c r="BZ1" s="53" t="n"/>
      <c r="CB1" s="15" t="inlineStr">
        <is>
          <t>REVIZADO</t>
        </is>
      </c>
      <c r="CC1" s="16" t="inlineStr">
        <is>
          <t>JULIO 23 DEL 2026</t>
        </is>
      </c>
    </row>
    <row r="2" ht="25" customFormat="1" customHeight="1" s="2">
      <c r="A2" s="54" t="n"/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6" t="n"/>
      <c r="N2" s="54" t="n"/>
      <c r="O2" s="55" t="n"/>
      <c r="Y2" s="57" t="n"/>
      <c r="Z2" s="58" t="n"/>
      <c r="AA2" s="59" t="n"/>
      <c r="AB2" s="59" t="n"/>
      <c r="AC2" s="59" t="n"/>
      <c r="AD2" s="59" t="n"/>
      <c r="AE2" s="59" t="n"/>
      <c r="AF2" s="59" t="n"/>
      <c r="AG2" s="59" t="n"/>
      <c r="AH2" s="59" t="n"/>
      <c r="AI2" s="59" t="n"/>
      <c r="AJ2" s="59" t="n"/>
      <c r="AK2" s="59" t="n"/>
      <c r="AL2" s="59" t="n"/>
      <c r="AM2" s="59" t="n"/>
      <c r="AN2" s="59" t="n"/>
      <c r="AO2" s="59" t="n"/>
      <c r="AP2" s="59" t="n"/>
      <c r="AQ2" s="59" t="n"/>
      <c r="AR2" s="59" t="n"/>
      <c r="AS2" s="59" t="n"/>
      <c r="AT2" s="59" t="n"/>
      <c r="AU2" s="59" t="n"/>
      <c r="AV2" s="59" t="n"/>
      <c r="AW2" s="59" t="n"/>
      <c r="AX2" s="59" t="n"/>
      <c r="AY2" s="59" t="n"/>
      <c r="AZ2" s="59" t="n"/>
      <c r="BA2" s="59" t="n"/>
      <c r="BB2" s="60" t="n"/>
      <c r="BC2" s="26" t="inlineStr">
        <is>
          <t>REVISION:</t>
        </is>
      </c>
      <c r="BD2" s="50" t="n"/>
      <c r="BE2" s="50" t="n"/>
      <c r="BF2" s="50" t="n"/>
      <c r="BG2" s="50" t="n"/>
      <c r="BH2" s="50" t="n"/>
      <c r="BI2" s="50" t="n"/>
      <c r="BJ2" s="50" t="n"/>
      <c r="BK2" s="50" t="n"/>
      <c r="BL2" s="50" t="n"/>
      <c r="BM2" s="50" t="n"/>
      <c r="BN2" s="51" t="n"/>
      <c r="BO2" s="25" t="inlineStr">
        <is>
          <t>CERO (0)</t>
        </is>
      </c>
      <c r="BP2" s="52" t="n"/>
      <c r="BQ2" s="52" t="n"/>
      <c r="BR2" s="52" t="n"/>
      <c r="BS2" s="52" t="n"/>
      <c r="BT2" s="52" t="n"/>
      <c r="BU2" s="52" t="n"/>
      <c r="BV2" s="52" t="n"/>
      <c r="BW2" s="52" t="n"/>
      <c r="BX2" s="52" t="n"/>
      <c r="BY2" s="52" t="n"/>
      <c r="BZ2" s="53" t="n"/>
      <c r="CB2" s="15" t="inlineStr">
        <is>
          <t>APROBADO</t>
        </is>
      </c>
      <c r="CC2" s="16" t="inlineStr">
        <is>
          <t>JULIO 24 DEL 2026</t>
        </is>
      </c>
    </row>
    <row r="3" ht="25" customFormat="1" customHeight="1" s="2">
      <c r="A3" s="54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54" t="n"/>
      <c r="O3" s="55" t="n"/>
      <c r="Y3" s="57" t="n"/>
      <c r="Z3" s="27" t="inlineStr">
        <is>
          <t>SISTEMA HVAC LABORATORIO BRINSA</t>
        </is>
      </c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9" t="n"/>
      <c r="BC3" s="26" t="inlineStr">
        <is>
          <t>FECHA:</t>
        </is>
      </c>
      <c r="BD3" s="50" t="n"/>
      <c r="BE3" s="50" t="n"/>
      <c r="BF3" s="50" t="n"/>
      <c r="BG3" s="50" t="n"/>
      <c r="BH3" s="50" t="n"/>
      <c r="BI3" s="50" t="n"/>
      <c r="BJ3" s="50" t="n"/>
      <c r="BK3" s="50" t="n"/>
      <c r="BL3" s="50" t="n"/>
      <c r="BM3" s="50" t="n"/>
      <c r="BN3" s="51" t="n"/>
      <c r="BO3" s="25" t="inlineStr">
        <is>
          <t>JULIO 23 DEL 2026</t>
        </is>
      </c>
      <c r="BP3" s="52" t="n"/>
      <c r="BQ3" s="52" t="n"/>
      <c r="BR3" s="52" t="n"/>
      <c r="BS3" s="52" t="n"/>
      <c r="BT3" s="52" t="n"/>
      <c r="BU3" s="52" t="n"/>
      <c r="BV3" s="52" t="n"/>
      <c r="BW3" s="52" t="n"/>
      <c r="BX3" s="52" t="n"/>
      <c r="BY3" s="52" t="n"/>
      <c r="BZ3" s="53" t="n"/>
    </row>
    <row r="4" ht="25" customFormat="1" customHeight="1" s="2">
      <c r="A4" s="54" t="n"/>
      <c r="B4" s="55" t="n"/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6" t="n"/>
      <c r="N4" s="54" t="n"/>
      <c r="O4" s="55" t="n"/>
      <c r="Y4" s="57" t="n"/>
      <c r="Z4" s="58" t="n"/>
      <c r="AA4" s="59" t="n"/>
      <c r="AB4" s="59" t="n"/>
      <c r="AC4" s="59" t="n"/>
      <c r="AD4" s="59" t="n"/>
      <c r="AE4" s="59" t="n"/>
      <c r="AF4" s="59" t="n"/>
      <c r="AG4" s="59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60" t="n"/>
      <c r="BC4" s="26" t="inlineStr">
        <is>
          <t>ELABORO:</t>
        </is>
      </c>
      <c r="BD4" s="50" t="n"/>
      <c r="BE4" s="50" t="n"/>
      <c r="BF4" s="50" t="n"/>
      <c r="BG4" s="50" t="n"/>
      <c r="BH4" s="50" t="n"/>
      <c r="BI4" s="50" t="n"/>
      <c r="BJ4" s="50" t="n"/>
      <c r="BK4" s="50" t="n"/>
      <c r="BL4" s="50" t="n"/>
      <c r="BM4" s="50" t="n"/>
      <c r="BN4" s="51" t="n"/>
      <c r="BO4" s="25" t="inlineStr">
        <is>
          <t>J.ARBOLEDA</t>
        </is>
      </c>
      <c r="BP4" s="52" t="n"/>
      <c r="BQ4" s="52" t="n"/>
      <c r="BR4" s="52" t="n"/>
      <c r="BS4" s="52" t="n"/>
      <c r="BT4" s="52" t="n"/>
      <c r="BU4" s="52" t="n"/>
      <c r="BV4" s="52" t="n"/>
      <c r="BW4" s="52" t="n"/>
      <c r="BX4" s="52" t="n"/>
      <c r="BY4" s="52" t="n"/>
      <c r="BZ4" s="53" t="n"/>
    </row>
    <row r="5" ht="25" customFormat="1" customHeight="1" s="2">
      <c r="A5" s="61" t="n"/>
      <c r="B5" s="62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63" t="n"/>
      <c r="N5" s="61" t="n"/>
      <c r="O5" s="62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60" t="n"/>
      <c r="Z5" s="31" t="inlineStr">
        <is>
          <t>HOJA DE DATOS Y ESPECIFICACIONES TÉCNICAS DE LAS REJILLAS DE EXFILTRACIÓN</t>
        </is>
      </c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  <c r="AL5" s="48" t="n"/>
      <c r="AM5" s="48" t="n"/>
      <c r="AN5" s="48" t="n"/>
      <c r="AO5" s="48" t="n"/>
      <c r="AP5" s="48" t="n"/>
      <c r="AQ5" s="48" t="n"/>
      <c r="AR5" s="48" t="n"/>
      <c r="AS5" s="48" t="n"/>
      <c r="AT5" s="48" t="n"/>
      <c r="AU5" s="48" t="n"/>
      <c r="AV5" s="48" t="n"/>
      <c r="AW5" s="48" t="n"/>
      <c r="AX5" s="48" t="n"/>
      <c r="AY5" s="48" t="n"/>
      <c r="AZ5" s="48" t="n"/>
      <c r="BA5" s="48" t="n"/>
      <c r="BB5" s="49" t="n"/>
      <c r="BC5" s="26" t="inlineStr">
        <is>
          <t>REVISO:</t>
        </is>
      </c>
      <c r="BD5" s="50" t="n"/>
      <c r="BE5" s="50" t="n"/>
      <c r="BF5" s="50" t="n"/>
      <c r="BG5" s="50" t="n"/>
      <c r="BH5" s="50" t="n"/>
      <c r="BI5" s="50" t="n"/>
      <c r="BJ5" s="50" t="n"/>
      <c r="BK5" s="50" t="n"/>
      <c r="BL5" s="50" t="n"/>
      <c r="BM5" s="50" t="n"/>
      <c r="BN5" s="51" t="n"/>
      <c r="BO5" s="25" t="inlineStr">
        <is>
          <t>F.NAVIA</t>
        </is>
      </c>
      <c r="BP5" s="52" t="n"/>
      <c r="BQ5" s="52" t="n"/>
      <c r="BR5" s="52" t="n"/>
      <c r="BS5" s="52" t="n"/>
      <c r="BT5" s="52" t="n"/>
      <c r="BU5" s="52" t="n"/>
      <c r="BV5" s="52" t="n"/>
      <c r="BW5" s="52" t="n"/>
      <c r="BX5" s="52" t="n"/>
      <c r="BY5" s="52" t="n"/>
      <c r="BZ5" s="53" t="n"/>
    </row>
    <row r="6" ht="25" customFormat="1" customHeight="1" s="2">
      <c r="A6" s="64" t="inlineStr">
        <is>
          <t>PROYECTO</t>
        </is>
      </c>
      <c r="B6" s="65" t="n"/>
      <c r="C6" s="65" t="n"/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6" t="n"/>
      <c r="N6" s="64" t="inlineStr">
        <is>
          <t>P2437</t>
        </is>
      </c>
      <c r="O6" s="65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1" t="n"/>
      <c r="Z6" s="58" t="n"/>
      <c r="AA6" s="59" t="n"/>
      <c r="AB6" s="59" t="n"/>
      <c r="AC6" s="59" t="n"/>
      <c r="AD6" s="59" t="n"/>
      <c r="AE6" s="59" t="n"/>
      <c r="AF6" s="59" t="n"/>
      <c r="AG6" s="59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60" t="n"/>
      <c r="BC6" s="26" t="inlineStr">
        <is>
          <t>APROBO:</t>
        </is>
      </c>
      <c r="BD6" s="50" t="n"/>
      <c r="BE6" s="50" t="n"/>
      <c r="BF6" s="50" t="n"/>
      <c r="BG6" s="50" t="n"/>
      <c r="BH6" s="50" t="n"/>
      <c r="BI6" s="50" t="n"/>
      <c r="BJ6" s="50" t="n"/>
      <c r="BK6" s="50" t="n"/>
      <c r="BL6" s="50" t="n"/>
      <c r="BM6" s="50" t="n"/>
      <c r="BN6" s="51" t="n"/>
      <c r="BO6" s="25" t="inlineStr">
        <is>
          <t>H.ROSERO</t>
        </is>
      </c>
      <c r="BP6" s="52" t="n"/>
      <c r="BQ6" s="52" t="n"/>
      <c r="BR6" s="52" t="n"/>
      <c r="BS6" s="52" t="n"/>
      <c r="BT6" s="52" t="n"/>
      <c r="BU6" s="52" t="n"/>
      <c r="BV6" s="52" t="n"/>
      <c r="BW6" s="52" t="n"/>
      <c r="BX6" s="52" t="n"/>
      <c r="BY6" s="52" t="n"/>
      <c r="BZ6" s="53" t="n"/>
    </row>
    <row r="7" ht="15" customHeight="1">
      <c r="A7" s="55" t="n"/>
      <c r="B7" s="55" t="n"/>
      <c r="C7" s="55" t="n"/>
      <c r="D7" s="55" t="n"/>
      <c r="E7" s="55" t="n"/>
      <c r="F7" s="55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5" t="n"/>
      <c r="AD7" s="21" t="n"/>
      <c r="AE7" s="21" t="n"/>
      <c r="AF7" s="21" t="n"/>
      <c r="CD7" s="7" t="n"/>
    </row>
    <row r="8" ht="15" customHeight="1">
      <c r="A8" s="55" t="n"/>
      <c r="B8" s="55" t="n"/>
      <c r="C8" s="55" t="n"/>
      <c r="D8" s="55" t="n"/>
      <c r="E8" s="55" t="n"/>
      <c r="F8" s="55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5" t="n"/>
      <c r="AD8" s="21" t="n"/>
      <c r="AE8" s="21" t="n"/>
      <c r="AF8" s="21" t="n"/>
      <c r="CD8" s="7" t="n"/>
    </row>
    <row r="9" ht="15" customHeight="1">
      <c r="A9" s="55" t="n"/>
      <c r="B9" s="55" t="n"/>
      <c r="C9" s="55" t="n"/>
      <c r="D9" s="55" t="n"/>
      <c r="E9" s="55" t="n"/>
      <c r="F9" s="55" t="n"/>
      <c r="G9" s="67" t="n"/>
      <c r="H9" s="67" t="n"/>
      <c r="I9" s="67" t="n"/>
      <c r="J9" s="67" t="n"/>
      <c r="K9" s="67" t="n"/>
      <c r="L9" s="67" t="n"/>
      <c r="M9" s="67" t="n"/>
      <c r="N9" s="67" t="n"/>
      <c r="O9" s="67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5" t="n"/>
      <c r="AD9" s="21" t="n"/>
      <c r="AE9" s="21" t="n"/>
      <c r="AF9" s="21" t="n"/>
      <c r="CD9" s="7" t="n"/>
    </row>
    <row r="10" ht="15" customHeight="1">
      <c r="A10" s="55" t="n"/>
      <c r="B10" s="55" t="n"/>
      <c r="C10" s="55" t="n"/>
      <c r="D10" s="55" t="n"/>
      <c r="E10" s="55" t="n"/>
      <c r="F10" s="55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5" t="n"/>
      <c r="AD10" s="21" t="n"/>
      <c r="AE10" s="21" t="n"/>
      <c r="AF10" s="21" t="n"/>
      <c r="CD10" s="7" t="n"/>
    </row>
    <row r="11" ht="15" customHeight="1">
      <c r="A11" s="55" t="n"/>
      <c r="B11" s="55" t="n"/>
      <c r="C11" s="55" t="n"/>
      <c r="D11" s="55" t="n"/>
      <c r="E11" s="55" t="n"/>
      <c r="F11" s="55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5" t="n"/>
      <c r="AD11" s="21" t="n"/>
      <c r="AE11" s="21" t="n"/>
      <c r="AF11" s="21" t="n"/>
      <c r="CD11" s="7" t="n"/>
    </row>
    <row r="12" ht="15" customHeight="1">
      <c r="A12" s="55" t="n"/>
      <c r="B12" s="55" t="n"/>
      <c r="C12" s="55" t="n"/>
      <c r="D12" s="55" t="n"/>
      <c r="E12" s="55" t="n"/>
      <c r="F12" s="55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5" t="n"/>
      <c r="AD12" s="21" t="n"/>
      <c r="AE12" s="21" t="n"/>
      <c r="AF12" s="21" t="n"/>
      <c r="CD12" s="7" t="n"/>
    </row>
    <row r="13" ht="15" customHeight="1">
      <c r="A13" s="55" t="n"/>
      <c r="B13" s="55" t="n"/>
      <c r="C13" s="55" t="n"/>
      <c r="D13" s="55" t="n"/>
      <c r="E13" s="55" t="n"/>
      <c r="F13" s="55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5" t="n"/>
      <c r="AD13" s="21" t="n"/>
      <c r="AE13" s="21" t="n"/>
      <c r="AF13" s="21" t="n"/>
      <c r="CD13" s="7" t="n"/>
    </row>
    <row r="14" ht="15" customHeight="1">
      <c r="A14" s="55" t="n"/>
      <c r="B14" s="55" t="n"/>
      <c r="C14" s="55" t="n"/>
      <c r="D14" s="55" t="n"/>
      <c r="E14" s="55" t="n"/>
      <c r="F14" s="55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5" t="n"/>
      <c r="AD14" s="21" t="n"/>
      <c r="AE14" s="21" t="n"/>
      <c r="AF14" s="21" t="n"/>
      <c r="CD14" s="7" t="n"/>
    </row>
    <row r="15" ht="15" customHeight="1">
      <c r="A15" s="55" t="n"/>
      <c r="B15" s="55" t="n"/>
      <c r="C15" s="55" t="n"/>
      <c r="D15" s="55" t="n"/>
      <c r="E15" s="55" t="n"/>
      <c r="F15" s="55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5" t="n"/>
      <c r="AD15" s="21" t="n"/>
      <c r="AE15" s="21" t="n"/>
      <c r="AF15" s="21" t="n"/>
      <c r="CD15" s="7" t="n"/>
    </row>
    <row r="16" ht="15" customHeight="1">
      <c r="A16" s="55" t="n"/>
      <c r="B16" s="55" t="n"/>
      <c r="C16" s="55" t="n"/>
      <c r="D16" s="55" t="n"/>
      <c r="E16" s="55" t="n"/>
      <c r="F16" s="55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5" t="n"/>
      <c r="AD16" s="21" t="n"/>
      <c r="AE16" s="21" t="n"/>
      <c r="AF16" s="21" t="n"/>
      <c r="CD16" s="7" t="n"/>
    </row>
    <row r="17" ht="15" customHeight="1">
      <c r="A17" s="55" t="n"/>
      <c r="B17" s="55" t="n"/>
      <c r="C17" s="55" t="n"/>
      <c r="D17" s="55" t="n"/>
      <c r="E17" s="55" t="n"/>
      <c r="F17" s="55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5" t="n"/>
      <c r="AD17" s="21" t="n"/>
      <c r="AE17" s="21" t="n"/>
      <c r="AF17" s="21" t="n"/>
      <c r="CD17" s="7" t="n"/>
    </row>
    <row r="18" ht="15" customHeight="1">
      <c r="A18" s="55" t="n"/>
      <c r="B18" s="55" t="n"/>
      <c r="C18" s="55" t="n"/>
      <c r="D18" s="55" t="n"/>
      <c r="E18" s="55" t="n"/>
      <c r="F18" s="55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5" t="n"/>
      <c r="AD18" s="21" t="n"/>
      <c r="AE18" s="21" t="n"/>
      <c r="AF18" s="21" t="n"/>
      <c r="CD18" s="7" t="n"/>
    </row>
    <row r="19" ht="15" customHeight="1">
      <c r="A19" s="55" t="n"/>
      <c r="B19" s="55" t="n"/>
      <c r="C19" s="55" t="n"/>
      <c r="D19" s="55" t="n"/>
      <c r="E19" s="55" t="n"/>
      <c r="F19" s="55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5" t="n"/>
      <c r="AD19" s="21" t="n"/>
      <c r="AE19" s="21" t="n"/>
      <c r="AF19" s="21" t="n"/>
      <c r="CD19" s="7" t="n"/>
    </row>
    <row r="20" ht="15" customHeight="1">
      <c r="A20" s="55" t="n"/>
      <c r="B20" s="55" t="n"/>
      <c r="C20" s="55" t="n"/>
      <c r="D20" s="55" t="n"/>
      <c r="E20" s="55" t="n"/>
      <c r="F20" s="55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7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5" t="n"/>
      <c r="AD20" s="21" t="n"/>
      <c r="AE20" s="21" t="n"/>
      <c r="AF20" s="21" t="n"/>
      <c r="CD20" s="7" t="n"/>
    </row>
    <row r="21" ht="15" customHeight="1">
      <c r="A21" s="55" t="n"/>
      <c r="B21" s="55" t="n"/>
      <c r="C21" s="55" t="n"/>
      <c r="D21" s="55" t="n"/>
      <c r="E21" s="55" t="n"/>
      <c r="F21" s="55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21" t="n"/>
      <c r="Q21" s="21" t="n"/>
      <c r="R21" s="41" t="inlineStr">
        <is>
          <t>Elaborado por:</t>
        </is>
      </c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9" t="n"/>
      <c r="AF21" s="41" t="inlineStr">
        <is>
          <t>Revisado por:</t>
        </is>
      </c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9" t="n"/>
      <c r="AT21" s="41" t="inlineStr">
        <is>
          <t>Aprobado por:</t>
        </is>
      </c>
      <c r="AU21" s="48" t="n"/>
      <c r="AV21" s="48" t="n"/>
      <c r="AW21" s="48" t="n"/>
      <c r="AX21" s="48" t="n"/>
      <c r="AY21" s="48" t="n"/>
      <c r="AZ21" s="48" t="n"/>
      <c r="BA21" s="48" t="n"/>
      <c r="BB21" s="48" t="n"/>
      <c r="BC21" s="48" t="n"/>
      <c r="BD21" s="48" t="n"/>
      <c r="BE21" s="48" t="n"/>
      <c r="BF21" s="48" t="n"/>
      <c r="BG21" s="49" t="n"/>
    </row>
    <row r="22" ht="15" customHeight="1">
      <c r="A22" s="55" t="n"/>
      <c r="B22" s="55" t="n"/>
      <c r="C22" s="55" t="n"/>
      <c r="D22" s="55" t="n"/>
      <c r="E22" s="55" t="n"/>
      <c r="F22" s="55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21" t="n"/>
      <c r="Q22" s="21" t="n"/>
      <c r="R22" s="68" t="n"/>
      <c r="AE22" s="57" t="n"/>
      <c r="AF22" s="68" t="n"/>
      <c r="AS22" s="57" t="n"/>
      <c r="AT22" s="68" t="n"/>
      <c r="BG22" s="57" t="n"/>
    </row>
    <row r="23" ht="15" customHeight="1">
      <c r="A23" s="55" t="n"/>
      <c r="B23" s="55" t="n"/>
      <c r="C23" s="55" t="n"/>
      <c r="D23" s="55" t="n"/>
      <c r="E23" s="55" t="n"/>
      <c r="F23" s="55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21" t="n"/>
      <c r="Q23" s="21" t="n"/>
      <c r="R23" s="58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60" t="n"/>
      <c r="AF23" s="58" t="n"/>
      <c r="AG23" s="59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59" t="n"/>
      <c r="AQ23" s="59" t="n"/>
      <c r="AR23" s="59" t="n"/>
      <c r="AS23" s="60" t="n"/>
      <c r="AT23" s="58" t="n"/>
      <c r="AU23" s="59" t="n"/>
      <c r="AV23" s="59" t="n"/>
      <c r="AW23" s="59" t="n"/>
      <c r="AX23" s="59" t="n"/>
      <c r="AY23" s="59" t="n"/>
      <c r="AZ23" s="59" t="n"/>
      <c r="BA23" s="59" t="n"/>
      <c r="BB23" s="59" t="n"/>
      <c r="BC23" s="59" t="n"/>
      <c r="BD23" s="59" t="n"/>
      <c r="BE23" s="59" t="n"/>
      <c r="BF23" s="59" t="n"/>
      <c r="BG23" s="60" t="n"/>
    </row>
    <row r="24" ht="15" customHeight="1">
      <c r="A24" s="55" t="n"/>
      <c r="B24" s="55" t="n"/>
      <c r="C24" s="55" t="n"/>
      <c r="D24" s="55" t="n"/>
      <c r="E24" s="55" t="n"/>
      <c r="F24" s="55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7" t="n"/>
      <c r="P24" s="21" t="n"/>
      <c r="Q24" s="21" t="n"/>
      <c r="R24" s="23" t="inlineStr">
        <is>
          <t>J.ARBOLEDA</t>
        </is>
      </c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9" t="n"/>
      <c r="AF24" s="24" t="n"/>
      <c r="AG24" s="48" t="n"/>
      <c r="AH24" s="48" t="n"/>
      <c r="AI24" s="48" t="n"/>
      <c r="AJ24" s="48" t="n"/>
      <c r="AK24" s="48" t="n"/>
      <c r="AL24" s="48" t="n"/>
      <c r="AM24" s="48" t="n"/>
      <c r="AN24" s="48" t="n"/>
      <c r="AO24" s="48" t="n"/>
      <c r="AP24" s="48" t="n"/>
      <c r="AQ24" s="48" t="n"/>
      <c r="AR24" s="48" t="n"/>
      <c r="AS24" s="49" t="n"/>
      <c r="AT24" s="24" t="n"/>
      <c r="AU24" s="48" t="n"/>
      <c r="AV24" s="48" t="n"/>
      <c r="AW24" s="48" t="n"/>
      <c r="AX24" s="48" t="n"/>
      <c r="AY24" s="48" t="n"/>
      <c r="AZ24" s="48" t="n"/>
      <c r="BA24" s="48" t="n"/>
      <c r="BB24" s="48" t="n"/>
      <c r="BC24" s="48" t="n"/>
      <c r="BD24" s="48" t="n"/>
      <c r="BE24" s="48" t="n"/>
      <c r="BF24" s="48" t="n"/>
      <c r="BG24" s="49" t="n"/>
    </row>
    <row r="25" ht="15" customHeight="1">
      <c r="A25" s="55" t="n"/>
      <c r="B25" s="55" t="n"/>
      <c r="C25" s="55" t="n"/>
      <c r="D25" s="55" t="n"/>
      <c r="E25" s="55" t="n"/>
      <c r="F25" s="55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21" t="n"/>
      <c r="Q25" s="21" t="n"/>
      <c r="R25" s="68" t="n"/>
      <c r="AE25" s="57" t="n"/>
      <c r="AF25" s="68" t="n"/>
      <c r="AS25" s="57" t="n"/>
      <c r="AT25" s="68" t="n"/>
      <c r="BG25" s="57" t="n"/>
    </row>
    <row r="26" ht="15" customHeight="1">
      <c r="A26" s="55" t="n"/>
      <c r="B26" s="55" t="n"/>
      <c r="C26" s="55" t="n"/>
      <c r="D26" s="55" t="n"/>
      <c r="E26" s="55" t="n"/>
      <c r="F26" s="55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21" t="n"/>
      <c r="Q26" s="21" t="n"/>
      <c r="R26" s="58" t="n"/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n"/>
      <c r="AD26" s="59" t="n"/>
      <c r="AE26" s="60" t="n"/>
      <c r="AF26" s="58" t="n"/>
      <c r="AG26" s="59" t="n"/>
      <c r="AH26" s="59" t="n"/>
      <c r="AI26" s="59" t="n"/>
      <c r="AJ26" s="59" t="n"/>
      <c r="AK26" s="59" t="n"/>
      <c r="AL26" s="59" t="n"/>
      <c r="AM26" s="59" t="n"/>
      <c r="AN26" s="59" t="n"/>
      <c r="AO26" s="59" t="n"/>
      <c r="AP26" s="59" t="n"/>
      <c r="AQ26" s="59" t="n"/>
      <c r="AR26" s="59" t="n"/>
      <c r="AS26" s="60" t="n"/>
      <c r="AT26" s="58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60" t="n"/>
    </row>
    <row r="27" ht="15" customHeight="1">
      <c r="A27" s="55" t="n"/>
      <c r="B27" s="55" t="n"/>
      <c r="C27" s="55" t="n"/>
      <c r="D27" s="55" t="n"/>
      <c r="E27" s="55" t="n"/>
      <c r="F27" s="55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21" t="n"/>
      <c r="Q27" s="21" t="n"/>
      <c r="R27" s="24">
        <f>"Fecha :"&amp;BO3</f>
        <v/>
      </c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9" t="n"/>
      <c r="AF27" s="24">
        <f>"Fecha :"&amp;CC1</f>
        <v/>
      </c>
      <c r="AG27" s="48" t="n"/>
      <c r="AH27" s="48" t="n"/>
      <c r="AI27" s="48" t="n"/>
      <c r="AJ27" s="48" t="n"/>
      <c r="AK27" s="48" t="n"/>
      <c r="AL27" s="48" t="n"/>
      <c r="AM27" s="48" t="n"/>
      <c r="AN27" s="48" t="n"/>
      <c r="AO27" s="48" t="n"/>
      <c r="AP27" s="48" t="n"/>
      <c r="AQ27" s="48" t="n"/>
      <c r="AR27" s="48" t="n"/>
      <c r="AS27" s="49" t="n"/>
      <c r="AT27" s="24">
        <f>"Fecha :"&amp;CC2</f>
        <v/>
      </c>
      <c r="AU27" s="48" t="n"/>
      <c r="AV27" s="48" t="n"/>
      <c r="AW27" s="48" t="n"/>
      <c r="AX27" s="48" t="n"/>
      <c r="AY27" s="48" t="n"/>
      <c r="AZ27" s="48" t="n"/>
      <c r="BA27" s="48" t="n"/>
      <c r="BB27" s="48" t="n"/>
      <c r="BC27" s="48" t="n"/>
      <c r="BD27" s="48" t="n"/>
      <c r="BE27" s="48" t="n"/>
      <c r="BF27" s="48" t="n"/>
      <c r="BG27" s="49" t="n"/>
    </row>
    <row r="28" ht="15" customHeight="1">
      <c r="A28" s="55" t="n"/>
      <c r="B28" s="55" t="n"/>
      <c r="C28" s="55" t="n"/>
      <c r="D28" s="55" t="n"/>
      <c r="E28" s="55" t="n"/>
      <c r="F28" s="55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21" t="n"/>
      <c r="Q28" s="21" t="n"/>
      <c r="R28" s="68" t="n"/>
      <c r="AE28" s="57" t="n"/>
      <c r="AF28" s="68" t="n"/>
      <c r="AS28" s="57" t="n"/>
      <c r="AT28" s="68" t="n"/>
      <c r="BG28" s="57" t="n"/>
    </row>
    <row r="29" ht="15" customHeight="1">
      <c r="A29" s="55" t="n"/>
      <c r="B29" s="55" t="n"/>
      <c r="C29" s="55" t="n"/>
      <c r="D29" s="55" t="n"/>
      <c r="E29" s="55" t="n"/>
      <c r="F29" s="55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21" t="n"/>
      <c r="Q29" s="21" t="n"/>
      <c r="R29" s="58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60" t="n"/>
      <c r="AF29" s="58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60" t="n"/>
      <c r="AT29" s="58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60" t="n"/>
    </row>
    <row r="30" ht="15" customHeight="1">
      <c r="A30" s="55" t="n"/>
      <c r="B30" s="55" t="n"/>
      <c r="C30" s="55" t="n"/>
      <c r="D30" s="55" t="n"/>
      <c r="E30" s="55" t="n"/>
      <c r="F30" s="55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5" t="n"/>
      <c r="AD30" s="21" t="n"/>
      <c r="AE30" s="21" t="n"/>
      <c r="AF30" s="21" t="n"/>
    </row>
    <row r="31" ht="15" customHeight="1">
      <c r="A31" s="55" t="n"/>
      <c r="B31" s="55" t="n"/>
      <c r="C31" s="55" t="n"/>
      <c r="D31" s="55" t="n"/>
      <c r="E31" s="55" t="n"/>
      <c r="F31" s="55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5" t="n"/>
      <c r="AD31" s="21" t="n"/>
      <c r="AE31" s="21" t="n"/>
      <c r="AF31" s="21" t="n"/>
    </row>
    <row r="32" ht="15" customHeight="1">
      <c r="A32" s="55" t="n"/>
      <c r="B32" s="55" t="n"/>
      <c r="C32" s="55" t="n"/>
      <c r="D32" s="55" t="n"/>
      <c r="E32" s="55" t="n"/>
      <c r="F32" s="55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5" t="n"/>
      <c r="AD32" s="21" t="n"/>
      <c r="AE32" s="21" t="n"/>
      <c r="AF32" s="21" t="n"/>
    </row>
    <row r="33" ht="15" customHeight="1">
      <c r="A33" s="55" t="n"/>
      <c r="B33" s="55" t="n"/>
      <c r="C33" s="55" t="n"/>
      <c r="D33" s="55" t="n"/>
      <c r="E33" s="55" t="n"/>
      <c r="F33" s="55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5" t="n"/>
      <c r="AD33" s="21" t="n"/>
      <c r="AE33" s="21" t="n"/>
      <c r="AF33" s="21" t="n"/>
    </row>
    <row r="34" ht="15" customHeight="1">
      <c r="A34" s="55" t="n"/>
      <c r="B34" s="55" t="n"/>
      <c r="C34" s="55" t="n"/>
      <c r="D34" s="55" t="n"/>
      <c r="E34" s="55" t="n"/>
      <c r="F34" s="55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5" t="n"/>
      <c r="AD34" s="21" t="n"/>
      <c r="AE34" s="21" t="n"/>
      <c r="AF34" s="21" t="n"/>
    </row>
    <row r="35" ht="15" customHeight="1">
      <c r="A35" s="55" t="n"/>
      <c r="B35" s="55" t="n"/>
      <c r="C35" s="55" t="n"/>
      <c r="D35" s="55" t="n"/>
      <c r="E35" s="55" t="n"/>
      <c r="F35" s="55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5" t="n"/>
      <c r="AD35" s="21" t="n"/>
      <c r="AE35" s="21" t="n"/>
      <c r="AF35" s="21" t="n"/>
    </row>
    <row r="36" ht="15" customHeight="1">
      <c r="A36" s="55" t="n"/>
      <c r="B36" s="55" t="n"/>
      <c r="C36" s="55" t="n"/>
      <c r="D36" s="55" t="n"/>
      <c r="E36" s="55" t="n"/>
      <c r="F36" s="55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5" t="n"/>
      <c r="AD36" s="21" t="n"/>
      <c r="AE36" s="21" t="n"/>
      <c r="AF36" s="21" t="n"/>
      <c r="BK36" s="21" t="n"/>
    </row>
    <row r="37" ht="15" customHeight="1">
      <c r="A37" s="55" t="n"/>
      <c r="B37" s="55" t="n"/>
      <c r="C37" s="55" t="n"/>
      <c r="D37" s="55" t="n"/>
      <c r="E37" s="55" t="n"/>
      <c r="F37" s="55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5" t="n"/>
      <c r="AD37" s="21" t="n"/>
      <c r="AE37" s="21" t="n"/>
      <c r="AF37" s="21" t="n"/>
    </row>
    <row r="38" ht="15" customHeight="1">
      <c r="A38" s="55" t="n"/>
      <c r="B38" s="55" t="n"/>
      <c r="C38" s="55" t="n"/>
      <c r="D38" s="55" t="n"/>
      <c r="E38" s="55" t="n"/>
      <c r="F38" s="55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5" t="n"/>
      <c r="AD38" s="21" t="n"/>
      <c r="AE38" s="21" t="n"/>
      <c r="AF38" s="21" t="n"/>
    </row>
    <row r="39" ht="15" customHeight="1">
      <c r="A39" s="55" t="n"/>
      <c r="B39" s="55" t="n"/>
      <c r="C39" s="55" t="n"/>
      <c r="D39" s="55" t="n"/>
      <c r="E39" s="55" t="n"/>
      <c r="F39" s="55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9" t="inlineStr">
        <is>
          <t>Versión</t>
        </is>
      </c>
      <c r="P39" s="48" t="n"/>
      <c r="Q39" s="48" t="n"/>
      <c r="R39" s="48" t="n"/>
      <c r="S39" s="48" t="n"/>
      <c r="T39" s="48" t="n"/>
      <c r="U39" s="49" t="n"/>
      <c r="V39" s="42" t="inlineStr">
        <is>
          <t>Autor</t>
        </is>
      </c>
      <c r="W39" s="48" t="n"/>
      <c r="X39" s="48" t="n"/>
      <c r="Y39" s="48" t="n"/>
      <c r="Z39" s="48" t="n"/>
      <c r="AA39" s="48" t="n"/>
      <c r="AB39" s="49" t="n"/>
      <c r="AC39" s="43" t="inlineStr">
        <is>
          <t>Descripción</t>
        </is>
      </c>
      <c r="AD39" s="48" t="n"/>
      <c r="AE39" s="48" t="n"/>
      <c r="AF39" s="48" t="n"/>
      <c r="AG39" s="48" t="n"/>
      <c r="AH39" s="48" t="n"/>
      <c r="AI39" s="48" t="n"/>
      <c r="AJ39" s="48" t="n"/>
      <c r="AK39" s="48" t="n"/>
      <c r="AL39" s="48" t="n"/>
      <c r="AM39" s="48" t="n"/>
      <c r="AN39" s="48" t="n"/>
      <c r="AO39" s="49" t="n"/>
      <c r="AP39" s="42" t="inlineStr">
        <is>
          <t>Fecha de elaboración</t>
        </is>
      </c>
      <c r="AQ39" s="48" t="n"/>
      <c r="AR39" s="48" t="n"/>
      <c r="AS39" s="48" t="n"/>
      <c r="AT39" s="48" t="n"/>
      <c r="AU39" s="48" t="n"/>
      <c r="AV39" s="49" t="n"/>
      <c r="AW39" s="42" t="inlineStr">
        <is>
          <t>Fecha de revisión</t>
        </is>
      </c>
      <c r="AX39" s="48" t="n"/>
      <c r="AY39" s="48" t="n"/>
      <c r="AZ39" s="48" t="n"/>
      <c r="BA39" s="48" t="n"/>
      <c r="BB39" s="48" t="n"/>
      <c r="BC39" s="49" t="n"/>
      <c r="BD39" s="42" t="inlineStr">
        <is>
          <t>Revisado por</t>
        </is>
      </c>
      <c r="BE39" s="48" t="n"/>
      <c r="BF39" s="48" t="n"/>
      <c r="BG39" s="48" t="n"/>
      <c r="BH39" s="48" t="n"/>
      <c r="BI39" s="48" t="n"/>
      <c r="BJ39" s="49" t="n"/>
    </row>
    <row r="40" ht="15" customHeight="1">
      <c r="A40" s="55" t="n"/>
      <c r="B40" s="55" t="n"/>
      <c r="C40" s="55" t="n"/>
      <c r="D40" s="55" t="n"/>
      <c r="E40" s="55" t="n"/>
      <c r="F40" s="55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54" t="n"/>
      <c r="U40" s="57" t="n"/>
      <c r="V40" s="68" t="n"/>
      <c r="AB40" s="57" t="n"/>
      <c r="AC40" s="68" t="n"/>
      <c r="AO40" s="57" t="n"/>
      <c r="AP40" s="68" t="n"/>
      <c r="AV40" s="57" t="n"/>
      <c r="AW40" s="68" t="n"/>
      <c r="BC40" s="57" t="n"/>
      <c r="BD40" s="68" t="n"/>
      <c r="BJ40" s="57" t="n"/>
    </row>
    <row r="41" ht="15" customHeight="1">
      <c r="A41" s="55" t="n"/>
      <c r="B41" s="55" t="n"/>
      <c r="C41" s="55" t="n"/>
      <c r="D41" s="55" t="n"/>
      <c r="E41" s="55" t="n"/>
      <c r="F41" s="55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1" t="n"/>
      <c r="P41" s="59" t="n"/>
      <c r="Q41" s="59" t="n"/>
      <c r="R41" s="59" t="n"/>
      <c r="S41" s="59" t="n"/>
      <c r="T41" s="59" t="n"/>
      <c r="U41" s="60" t="n"/>
      <c r="V41" s="58" t="n"/>
      <c r="W41" s="59" t="n"/>
      <c r="X41" s="59" t="n"/>
      <c r="Y41" s="59" t="n"/>
      <c r="Z41" s="59" t="n"/>
      <c r="AA41" s="59" t="n"/>
      <c r="AB41" s="60" t="n"/>
      <c r="AC41" s="58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60" t="n"/>
      <c r="AP41" s="58" t="n"/>
      <c r="AQ41" s="59" t="n"/>
      <c r="AR41" s="59" t="n"/>
      <c r="AS41" s="59" t="n"/>
      <c r="AT41" s="59" t="n"/>
      <c r="AU41" s="59" t="n"/>
      <c r="AV41" s="60" t="n"/>
      <c r="AW41" s="58" t="n"/>
      <c r="AX41" s="59" t="n"/>
      <c r="AY41" s="59" t="n"/>
      <c r="AZ41" s="59" t="n"/>
      <c r="BA41" s="59" t="n"/>
      <c r="BB41" s="59" t="n"/>
      <c r="BC41" s="60" t="n"/>
      <c r="BD41" s="58" t="n"/>
      <c r="BE41" s="59" t="n"/>
      <c r="BF41" s="59" t="n"/>
      <c r="BG41" s="59" t="n"/>
      <c r="BH41" s="59" t="n"/>
      <c r="BI41" s="59" t="n"/>
      <c r="BJ41" s="60" t="n"/>
    </row>
    <row r="42" ht="15" customHeight="1">
      <c r="A42" s="55" t="n"/>
      <c r="B42" s="55" t="n"/>
      <c r="C42" s="55" t="n"/>
      <c r="D42" s="55" t="n"/>
      <c r="E42" s="55" t="n"/>
      <c r="F42" s="55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70" t="inlineStr">
        <is>
          <t>CERO (0)</t>
        </is>
      </c>
      <c r="P42" s="48" t="n"/>
      <c r="Q42" s="48" t="n"/>
      <c r="R42" s="48" t="n"/>
      <c r="S42" s="48" t="n"/>
      <c r="T42" s="48" t="n"/>
      <c r="U42" s="49" t="n"/>
      <c r="V42" s="37" t="inlineStr">
        <is>
          <t>J.ARBOLEDA</t>
        </is>
      </c>
      <c r="W42" s="48" t="n"/>
      <c r="X42" s="48" t="n"/>
      <c r="Y42" s="48" t="n"/>
      <c r="Z42" s="48" t="n"/>
      <c r="AA42" s="48" t="n"/>
      <c r="AB42" s="49" t="n"/>
      <c r="AC42" s="38" t="inlineStr">
        <is>
          <t>Emitido para cotizacion</t>
        </is>
      </c>
      <c r="AD42" s="48" t="n"/>
      <c r="AE42" s="48" t="n"/>
      <c r="AF42" s="48" t="n"/>
      <c r="AG42" s="48" t="n"/>
      <c r="AH42" s="48" t="n"/>
      <c r="AI42" s="48" t="n"/>
      <c r="AJ42" s="48" t="n"/>
      <c r="AK42" s="48" t="n"/>
      <c r="AL42" s="48" t="n"/>
      <c r="AM42" s="48" t="n"/>
      <c r="AN42" s="48" t="n"/>
      <c r="AO42" s="49" t="n"/>
      <c r="AP42" s="39">
        <f>BO3</f>
        <v/>
      </c>
      <c r="AQ42" s="48" t="n"/>
      <c r="AR42" s="48" t="n"/>
      <c r="AS42" s="48" t="n"/>
      <c r="AT42" s="48" t="n"/>
      <c r="AU42" s="48" t="n"/>
      <c r="AV42" s="49" t="n"/>
      <c r="AW42" s="39">
        <f>AT27</f>
        <v/>
      </c>
      <c r="AX42" s="48" t="n"/>
      <c r="AY42" s="48" t="n"/>
      <c r="AZ42" s="48" t="n"/>
      <c r="BA42" s="48" t="n"/>
      <c r="BB42" s="48" t="n"/>
      <c r="BC42" s="49" t="n"/>
      <c r="BD42" s="40">
        <f>BO5</f>
        <v/>
      </c>
      <c r="BE42" s="48" t="n"/>
      <c r="BF42" s="48" t="n"/>
      <c r="BG42" s="48" t="n"/>
      <c r="BH42" s="48" t="n"/>
      <c r="BI42" s="48" t="n"/>
      <c r="BJ42" s="49" t="n"/>
    </row>
    <row r="43" ht="15" customHeight="1">
      <c r="A43" s="55" t="n"/>
      <c r="B43" s="55" t="n"/>
      <c r="C43" s="55" t="n"/>
      <c r="D43" s="55" t="n"/>
      <c r="E43" s="55" t="n"/>
      <c r="F43" s="55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54" t="n"/>
      <c r="U43" s="57" t="n"/>
      <c r="V43" s="68" t="n"/>
      <c r="AB43" s="57" t="n"/>
      <c r="AC43" s="68" t="n"/>
      <c r="AO43" s="57" t="n"/>
      <c r="AP43" s="68" t="n"/>
      <c r="AV43" s="57" t="n"/>
      <c r="AW43" s="68" t="n"/>
      <c r="BC43" s="57" t="n"/>
      <c r="BD43" s="68" t="n"/>
      <c r="BJ43" s="57" t="n"/>
      <c r="BP43" s="21" t="n"/>
    </row>
    <row r="44" ht="15" customHeight="1">
      <c r="A44" s="55" t="n"/>
      <c r="B44" s="55" t="n"/>
      <c r="C44" s="55" t="n"/>
      <c r="D44" s="55" t="n"/>
      <c r="E44" s="55" t="n"/>
      <c r="F44" s="55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1" t="n"/>
      <c r="P44" s="59" t="n"/>
      <c r="Q44" s="59" t="n"/>
      <c r="R44" s="59" t="n"/>
      <c r="S44" s="59" t="n"/>
      <c r="T44" s="59" t="n"/>
      <c r="U44" s="60" t="n"/>
      <c r="V44" s="58" t="n"/>
      <c r="W44" s="59" t="n"/>
      <c r="X44" s="59" t="n"/>
      <c r="Y44" s="59" t="n"/>
      <c r="Z44" s="59" t="n"/>
      <c r="AA44" s="59" t="n"/>
      <c r="AB44" s="60" t="n"/>
      <c r="AC44" s="58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60" t="n"/>
      <c r="AP44" s="58" t="n"/>
      <c r="AQ44" s="59" t="n"/>
      <c r="AR44" s="59" t="n"/>
      <c r="AS44" s="59" t="n"/>
      <c r="AT44" s="59" t="n"/>
      <c r="AU44" s="59" t="n"/>
      <c r="AV44" s="60" t="n"/>
      <c r="AW44" s="58" t="n"/>
      <c r="AX44" s="59" t="n"/>
      <c r="AY44" s="59" t="n"/>
      <c r="AZ44" s="59" t="n"/>
      <c r="BA44" s="59" t="n"/>
      <c r="BB44" s="59" t="n"/>
      <c r="BC44" s="60" t="n"/>
      <c r="BD44" s="58" t="n"/>
      <c r="BE44" s="59" t="n"/>
      <c r="BF44" s="59" t="n"/>
      <c r="BG44" s="59" t="n"/>
      <c r="BH44" s="59" t="n"/>
      <c r="BI44" s="59" t="n"/>
      <c r="BJ44" s="60" t="n"/>
    </row>
    <row r="45" ht="15" customHeight="1">
      <c r="A45" s="55" t="n"/>
      <c r="B45" s="55" t="n"/>
      <c r="C45" s="55" t="n"/>
      <c r="D45" s="55" t="n"/>
      <c r="E45" s="55" t="n"/>
      <c r="F45" s="55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71" t="n"/>
      <c r="P45" s="48" t="n"/>
      <c r="Q45" s="48" t="n"/>
      <c r="R45" s="48" t="n"/>
      <c r="S45" s="48" t="n"/>
      <c r="T45" s="48" t="n"/>
      <c r="U45" s="49" t="n"/>
      <c r="V45" s="20" t="n"/>
      <c r="W45" s="48" t="n"/>
      <c r="X45" s="48" t="n"/>
      <c r="Y45" s="48" t="n"/>
      <c r="Z45" s="48" t="n"/>
      <c r="AA45" s="48" t="n"/>
      <c r="AB45" s="49" t="n"/>
      <c r="AC45" s="22" t="n"/>
      <c r="AD45" s="48" t="n"/>
      <c r="AE45" s="48" t="n"/>
      <c r="AF45" s="48" t="n"/>
      <c r="AG45" s="48" t="n"/>
      <c r="AH45" s="48" t="n"/>
      <c r="AI45" s="48" t="n"/>
      <c r="AJ45" s="48" t="n"/>
      <c r="AK45" s="48" t="n"/>
      <c r="AL45" s="48" t="n"/>
      <c r="AM45" s="48" t="n"/>
      <c r="AN45" s="48" t="n"/>
      <c r="AO45" s="49" t="n"/>
      <c r="AP45" s="20" t="n"/>
      <c r="AQ45" s="48" t="n"/>
      <c r="AR45" s="48" t="n"/>
      <c r="AS45" s="48" t="n"/>
      <c r="AT45" s="48" t="n"/>
      <c r="AU45" s="48" t="n"/>
      <c r="AV45" s="49" t="n"/>
      <c r="AW45" s="20" t="n"/>
      <c r="AX45" s="48" t="n"/>
      <c r="AY45" s="48" t="n"/>
      <c r="AZ45" s="48" t="n"/>
      <c r="BA45" s="48" t="n"/>
      <c r="BB45" s="48" t="n"/>
      <c r="BC45" s="49" t="n"/>
      <c r="BD45" s="20" t="n"/>
      <c r="BE45" s="48" t="n"/>
      <c r="BF45" s="48" t="n"/>
      <c r="BG45" s="48" t="n"/>
      <c r="BH45" s="48" t="n"/>
      <c r="BI45" s="48" t="n"/>
      <c r="BJ45" s="49" t="n"/>
    </row>
    <row r="46" ht="15" customHeight="1">
      <c r="A46" s="55" t="n"/>
      <c r="B46" s="55" t="n"/>
      <c r="C46" s="55" t="n"/>
      <c r="D46" s="55" t="n"/>
      <c r="E46" s="55" t="n"/>
      <c r="F46" s="55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54" t="n"/>
      <c r="U46" s="57" t="n"/>
      <c r="V46" s="68" t="n"/>
      <c r="AB46" s="57" t="n"/>
      <c r="AC46" s="68" t="n"/>
      <c r="AO46" s="57" t="n"/>
      <c r="AP46" s="68" t="n"/>
      <c r="AV46" s="57" t="n"/>
      <c r="AW46" s="68" t="n"/>
      <c r="BC46" s="57" t="n"/>
      <c r="BD46" s="68" t="n"/>
      <c r="BJ46" s="57" t="n"/>
    </row>
    <row r="47" ht="15" customHeight="1">
      <c r="A47" s="55" t="n"/>
      <c r="B47" s="55" t="n"/>
      <c r="C47" s="55" t="n"/>
      <c r="D47" s="55" t="n"/>
      <c r="E47" s="55" t="n"/>
      <c r="F47" s="55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1" t="n"/>
      <c r="P47" s="59" t="n"/>
      <c r="Q47" s="59" t="n"/>
      <c r="R47" s="59" t="n"/>
      <c r="S47" s="59" t="n"/>
      <c r="T47" s="59" t="n"/>
      <c r="U47" s="60" t="n"/>
      <c r="V47" s="58" t="n"/>
      <c r="W47" s="59" t="n"/>
      <c r="X47" s="59" t="n"/>
      <c r="Y47" s="59" t="n"/>
      <c r="Z47" s="59" t="n"/>
      <c r="AA47" s="59" t="n"/>
      <c r="AB47" s="60" t="n"/>
      <c r="AC47" s="58" t="n"/>
      <c r="AD47" s="59" t="n"/>
      <c r="AE47" s="59" t="n"/>
      <c r="AF47" s="59" t="n"/>
      <c r="AG47" s="59" t="n"/>
      <c r="AH47" s="59" t="n"/>
      <c r="AI47" s="59" t="n"/>
      <c r="AJ47" s="59" t="n"/>
      <c r="AK47" s="59" t="n"/>
      <c r="AL47" s="59" t="n"/>
      <c r="AM47" s="59" t="n"/>
      <c r="AN47" s="59" t="n"/>
      <c r="AO47" s="60" t="n"/>
      <c r="AP47" s="58" t="n"/>
      <c r="AQ47" s="59" t="n"/>
      <c r="AR47" s="59" t="n"/>
      <c r="AS47" s="59" t="n"/>
      <c r="AT47" s="59" t="n"/>
      <c r="AU47" s="59" t="n"/>
      <c r="AV47" s="60" t="n"/>
      <c r="AW47" s="58" t="n"/>
      <c r="AX47" s="59" t="n"/>
      <c r="AY47" s="59" t="n"/>
      <c r="AZ47" s="59" t="n"/>
      <c r="BA47" s="59" t="n"/>
      <c r="BB47" s="59" t="n"/>
      <c r="BC47" s="60" t="n"/>
      <c r="BD47" s="58" t="n"/>
      <c r="BE47" s="59" t="n"/>
      <c r="BF47" s="59" t="n"/>
      <c r="BG47" s="59" t="n"/>
      <c r="BH47" s="59" t="n"/>
      <c r="BI47" s="59" t="n"/>
      <c r="BJ47" s="60" t="n"/>
    </row>
    <row r="48" ht="15" customHeight="1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72" t="n"/>
      <c r="V48" s="19" t="n"/>
      <c r="AC48" s="19" t="n"/>
      <c r="AP48" s="19" t="n"/>
      <c r="AW48" s="19" t="n"/>
      <c r="BD48" s="19" t="n"/>
    </row>
    <row r="49" ht="15" customHeight="1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</row>
    <row r="50" ht="15" customHeight="1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</row>
    <row r="5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</row>
    <row r="52" ht="15" customHeight="1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BH52" s="8" t="n"/>
      <c r="BI52" s="8" t="n"/>
      <c r="BJ52" s="8" t="n"/>
      <c r="BK52" s="8" t="n"/>
      <c r="BL52" s="8" t="n"/>
      <c r="BM52" s="9" t="n"/>
      <c r="BN52" s="9" t="n"/>
      <c r="BO52" s="9" t="n"/>
      <c r="BP52" s="9" t="n"/>
      <c r="BQ52" s="9" t="n"/>
      <c r="BR52" s="9" t="n"/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</row>
    <row r="54" ht="15" customHeight="1">
      <c r="A54" s="55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  <c r="AM54" s="73" t="n"/>
      <c r="AN54" s="73" t="n"/>
      <c r="AO54" s="73" t="n"/>
      <c r="AP54" s="11" t="n"/>
      <c r="AQ54" s="11" t="n"/>
      <c r="AR54" s="11" t="n"/>
      <c r="AW54" s="3" t="n"/>
      <c r="AX54" s="3" t="n"/>
      <c r="AY54" s="3" t="n"/>
      <c r="AZ54" s="3" t="n"/>
      <c r="BA54" s="3" t="n"/>
    </row>
  </sheetData>
  <mergeCells count="54">
    <mergeCell ref="AW42:BC44"/>
    <mergeCell ref="V45:AB47"/>
    <mergeCell ref="BO2:BZ2"/>
    <mergeCell ref="AP45:AV47"/>
    <mergeCell ref="AW45:BC47"/>
    <mergeCell ref="AP48:AV50"/>
    <mergeCell ref="O42:U44"/>
    <mergeCell ref="AF27:AS29"/>
    <mergeCell ref="BC3:BN3"/>
    <mergeCell ref="AT27:BG29"/>
    <mergeCell ref="BO3:BZ3"/>
    <mergeCell ref="BD45:BJ47"/>
    <mergeCell ref="AC45:AO47"/>
    <mergeCell ref="O48:U50"/>
    <mergeCell ref="Z5:BB6"/>
    <mergeCell ref="AF24:AS26"/>
    <mergeCell ref="BC5:BN5"/>
    <mergeCell ref="N1:Y5"/>
    <mergeCell ref="AC48:AO50"/>
    <mergeCell ref="AT24:BG26"/>
    <mergeCell ref="BO5:BZ5"/>
    <mergeCell ref="R24:AE26"/>
    <mergeCell ref="BK36:BZ36"/>
    <mergeCell ref="V42:AB44"/>
    <mergeCell ref="Z1:BB2"/>
    <mergeCell ref="BC4:BN4"/>
    <mergeCell ref="N6:Y6"/>
    <mergeCell ref="R21:AE23"/>
    <mergeCell ref="AP42:AV44"/>
    <mergeCell ref="A6:M6"/>
    <mergeCell ref="V48:AB50"/>
    <mergeCell ref="BC1:BN1"/>
    <mergeCell ref="O39:U41"/>
    <mergeCell ref="AW39:BC41"/>
    <mergeCell ref="AW48:BC50"/>
    <mergeCell ref="AP39:AV41"/>
    <mergeCell ref="BO1:BZ1"/>
    <mergeCell ref="R27:AE29"/>
    <mergeCell ref="BO4:BZ4"/>
    <mergeCell ref="O45:U47"/>
    <mergeCell ref="A1:M5"/>
    <mergeCell ref="BD42:BJ44"/>
    <mergeCell ref="AC42:AO44"/>
    <mergeCell ref="BC6:BN6"/>
    <mergeCell ref="AF21:AS23"/>
    <mergeCell ref="BC2:BN2"/>
    <mergeCell ref="AC39:AO41"/>
    <mergeCell ref="BP43:BV43"/>
    <mergeCell ref="BO6:BZ6"/>
    <mergeCell ref="BD48:BJ50"/>
    <mergeCell ref="V39:AB41"/>
    <mergeCell ref="AT21:BG23"/>
    <mergeCell ref="BD39:BJ41"/>
    <mergeCell ref="Z3:BB4"/>
  </mergeCells>
  <printOptions horizontalCentered="1" verticalCentered="1"/>
  <pageMargins left="0.1968503937007874" right="0.1968503937007874" top="0.3937007874015748" bottom="0.3937007874015748" header="0.03937007874015748" footer="0.03937007874015748"/>
  <pageSetup orientation="landscape" scale="5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6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13" customWidth="1" min="17" max="17"/>
    <col width="13" customWidth="1" min="21" max="21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4" max="34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9" max="49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8" max="58"/>
    <col width="13" customWidth="1" min="63" max="63"/>
  </cols>
  <sheetData>
    <row r="1" ht="29.25" customHeight="1">
      <c r="A1" s="74" t="n"/>
      <c r="B1" s="75" t="n"/>
      <c r="C1" s="74">
        <f>PORTADA!Z1</f>
        <v/>
      </c>
      <c r="D1" s="65" t="n"/>
      <c r="E1" s="65" t="n"/>
      <c r="F1" s="65" t="n"/>
      <c r="G1" s="65" t="n"/>
      <c r="H1" s="65" t="n"/>
      <c r="I1" s="65" t="n"/>
      <c r="J1" s="65" t="n"/>
      <c r="K1" s="65" t="n"/>
      <c r="L1" s="66" t="n"/>
      <c r="M1" s="76" t="inlineStr">
        <is>
          <t>CODIGO:</t>
        </is>
      </c>
      <c r="N1" s="77">
        <f>PORTADA!BO1</f>
        <v/>
      </c>
      <c r="O1" s="66" t="n"/>
    </row>
    <row r="2" ht="29.25" customHeight="1">
      <c r="A2" s="78" t="n"/>
      <c r="B2" s="78" t="n"/>
      <c r="C2" s="74">
        <f>PORTADA!Z3</f>
        <v/>
      </c>
      <c r="D2" s="45" t="n"/>
      <c r="E2" s="45" t="n"/>
      <c r="F2" s="45" t="n"/>
      <c r="G2" s="45" t="n"/>
      <c r="H2" s="45" t="n"/>
      <c r="I2" s="45" t="n"/>
      <c r="J2" s="45" t="n"/>
      <c r="K2" s="45" t="n"/>
      <c r="L2" s="46" t="n"/>
      <c r="M2" s="76" t="inlineStr">
        <is>
          <t>REVISION:</t>
        </is>
      </c>
      <c r="N2" s="77">
        <f>PORTADA!BO2</f>
        <v/>
      </c>
      <c r="O2" s="66" t="n"/>
    </row>
    <row r="3" ht="29.25" customHeight="1">
      <c r="A3" s="78" t="n"/>
      <c r="B3" s="78" t="n"/>
      <c r="C3" s="61" t="n"/>
      <c r="D3" s="62" t="n"/>
      <c r="E3" s="62" t="n"/>
      <c r="F3" s="62" t="n"/>
      <c r="G3" s="62" t="n"/>
      <c r="H3" s="62" t="n"/>
      <c r="I3" s="62" t="n"/>
      <c r="J3" s="62" t="n"/>
      <c r="K3" s="62" t="n"/>
      <c r="L3" s="63" t="n"/>
      <c r="M3" s="76" t="inlineStr">
        <is>
          <t>FECHA:</t>
        </is>
      </c>
      <c r="N3" s="77">
        <f>PORTADA!BO3</f>
        <v/>
      </c>
      <c r="O3" s="66" t="n"/>
    </row>
    <row r="4" ht="29.25" customHeight="1">
      <c r="A4" s="78" t="n"/>
      <c r="B4" s="78" t="n"/>
      <c r="C4" s="74">
        <f>PORTADA!Z5</f>
        <v/>
      </c>
      <c r="D4" s="45" t="n"/>
      <c r="E4" s="45" t="n"/>
      <c r="F4" s="45" t="n"/>
      <c r="G4" s="45" t="n"/>
      <c r="H4" s="45" t="n"/>
      <c r="I4" s="45" t="n"/>
      <c r="J4" s="45" t="n"/>
      <c r="K4" s="45" t="n"/>
      <c r="L4" s="46" t="n"/>
      <c r="M4" s="76" t="inlineStr">
        <is>
          <t>ELABORO:</t>
        </is>
      </c>
      <c r="N4" s="77">
        <f>PORTADA!BO4</f>
        <v/>
      </c>
      <c r="O4" s="66" t="n"/>
    </row>
    <row r="5" ht="29.25" customHeight="1">
      <c r="A5" s="79" t="n"/>
      <c r="B5" s="79" t="n"/>
      <c r="C5" s="54" t="n"/>
      <c r="D5" s="55" t="n"/>
      <c r="E5" s="55" t="n"/>
      <c r="F5" s="55" t="n"/>
      <c r="G5" s="55" t="n"/>
      <c r="H5" s="55" t="n"/>
      <c r="I5" s="55" t="n"/>
      <c r="J5" s="55" t="n"/>
      <c r="K5" s="55" t="n"/>
      <c r="L5" s="56" t="n"/>
      <c r="M5" s="76" t="inlineStr">
        <is>
          <t xml:space="preserve">REVISO:      </t>
        </is>
      </c>
      <c r="N5" s="77">
        <f>PORTADA!BO5</f>
        <v/>
      </c>
      <c r="O5" s="66" t="n"/>
    </row>
    <row r="6" ht="29.25" customHeight="1">
      <c r="A6" s="76" t="inlineStr">
        <is>
          <t>PROYECTO:</t>
        </is>
      </c>
      <c r="B6" s="74">
        <f>PORTADA!N6</f>
        <v/>
      </c>
      <c r="C6" s="61" t="n"/>
      <c r="D6" s="62" t="n"/>
      <c r="E6" s="62" t="n"/>
      <c r="F6" s="62" t="n"/>
      <c r="G6" s="62" t="n"/>
      <c r="H6" s="62" t="n"/>
      <c r="I6" s="62" t="n"/>
      <c r="J6" s="62" t="n"/>
      <c r="K6" s="62" t="n"/>
      <c r="L6" s="63" t="n"/>
      <c r="M6" s="76" t="inlineStr">
        <is>
          <t>APROBO:</t>
        </is>
      </c>
      <c r="N6" s="77">
        <f>PORTADA!BO6</f>
        <v/>
      </c>
      <c r="O6" s="66" t="n"/>
    </row>
    <row r="7" ht="25" customHeight="1">
      <c r="A7" s="80" t="n">
        <v>1</v>
      </c>
      <c r="B7" s="80" t="n">
        <v>2</v>
      </c>
      <c r="C7" s="80" t="n">
        <v>3</v>
      </c>
      <c r="D7" s="80" t="n">
        <v>4</v>
      </c>
      <c r="E7" s="80" t="n">
        <v>5</v>
      </c>
      <c r="F7" s="80" t="n">
        <v>6</v>
      </c>
      <c r="G7" s="80" t="n">
        <v>7</v>
      </c>
      <c r="H7" s="80" t="n">
        <v>8</v>
      </c>
      <c r="I7" s="80" t="n">
        <v>9</v>
      </c>
      <c r="J7" s="80" t="n">
        <v>10</v>
      </c>
      <c r="K7" s="80" t="n">
        <v>11</v>
      </c>
      <c r="L7" s="80" t="n">
        <v>12</v>
      </c>
      <c r="M7" s="80" t="n">
        <v>13</v>
      </c>
      <c r="N7" s="80" t="n">
        <v>14</v>
      </c>
      <c r="O7" s="80" t="n">
        <v>15</v>
      </c>
    </row>
    <row r="9" ht="100" customHeight="1">
      <c r="A9" s="81" t="inlineStr">
        <is>
          <t>Hoja de datos: rejillas de descarga con malla anti-insectos</t>
        </is>
      </c>
    </row>
    <row r="10" ht="50" customHeight="1">
      <c r="A10" s="82" t="inlineStr">
        <is>
          <t>Campo</t>
        </is>
      </c>
      <c r="B10" s="82" t="n"/>
      <c r="C10" s="82" t="n"/>
      <c r="D10" s="82" t="n"/>
      <c r="E10" s="82" t="n"/>
      <c r="F10" s="82" t="n"/>
      <c r="G10" s="82" t="n"/>
      <c r="H10" s="82" t="n"/>
      <c r="I10" s="82" t="inlineStr">
        <is>
          <t>Valor</t>
        </is>
      </c>
      <c r="J10" s="82" t="n"/>
      <c r="K10" s="82" t="n"/>
      <c r="L10" s="82" t="n"/>
      <c r="M10" s="82" t="n"/>
      <c r="N10" s="82" t="n"/>
      <c r="O10" s="82" t="n"/>
    </row>
    <row r="11" ht="50" customHeight="1">
      <c r="A11" s="83" t="inlineStr">
        <is>
          <t>Código</t>
        </is>
      </c>
      <c r="B11" s="84" t="n"/>
      <c r="C11" s="84" t="n"/>
      <c r="D11" s="84" t="n"/>
      <c r="E11" s="84" t="n"/>
      <c r="F11" s="84" t="n"/>
      <c r="G11" s="84" t="n"/>
      <c r="H11" s="84" t="n"/>
      <c r="I11" s="83" t="inlineStr">
        <is>
          <t>HD-REJ-001</t>
        </is>
      </c>
      <c r="J11" s="84" t="n"/>
      <c r="K11" s="84" t="n"/>
      <c r="L11" s="84" t="n"/>
      <c r="M11" s="84" t="n"/>
      <c r="N11" s="84" t="n"/>
      <c r="O11" s="84" t="n"/>
    </row>
    <row r="12" ht="50" customHeight="1">
      <c r="A12" s="83" t="inlineStr">
        <is>
          <t>Revisión</t>
        </is>
      </c>
      <c r="B12" s="84" t="n"/>
      <c r="C12" s="84" t="n"/>
      <c r="D12" s="84" t="n"/>
      <c r="E12" s="84" t="n"/>
      <c r="F12" s="84" t="n"/>
      <c r="G12" s="84" t="n"/>
      <c r="H12" s="84" t="n"/>
      <c r="I12" s="83" t="inlineStr">
        <is>
          <t>0</t>
        </is>
      </c>
      <c r="J12" s="84" t="n"/>
      <c r="K12" s="84" t="n"/>
      <c r="L12" s="84" t="n"/>
      <c r="M12" s="84" t="n"/>
      <c r="N12" s="84" t="n"/>
      <c r="O12" s="84" t="n"/>
    </row>
    <row r="13" ht="50" customHeight="1">
      <c r="A13" s="83" t="inlineStr">
        <is>
          <t>Fecha</t>
        </is>
      </c>
      <c r="B13" s="84" t="n"/>
      <c r="C13" s="84" t="n"/>
      <c r="D13" s="84" t="n"/>
      <c r="E13" s="84" t="n"/>
      <c r="F13" s="84" t="n"/>
      <c r="G13" s="84" t="n"/>
      <c r="H13" s="84" t="n"/>
      <c r="I13" s="83" t="inlineStr">
        <is>
          <t>2026-07-27</t>
        </is>
      </c>
      <c r="J13" s="84" t="n"/>
      <c r="K13" s="84" t="n"/>
      <c r="L13" s="84" t="n"/>
      <c r="M13" s="84" t="n"/>
      <c r="N13" s="84" t="n"/>
      <c r="O13" s="84" t="n"/>
    </row>
    <row r="14" ht="100" customHeight="1">
      <c r="A14" s="83" t="inlineStr">
        <is>
          <t>Proyecto</t>
        </is>
      </c>
      <c r="B14" s="84" t="n"/>
      <c r="C14" s="84" t="n"/>
      <c r="D14" s="84" t="n"/>
      <c r="E14" s="84" t="n"/>
      <c r="F14" s="84" t="n"/>
      <c r="G14" s="84" t="n"/>
      <c r="H14" s="84" t="n"/>
      <c r="I14" s="83" t="inlineStr">
        <is>
          <t>P2437-HV-INF-001 — BRINSA, laboratorio de análisis industrial, Cajicá</t>
        </is>
      </c>
      <c r="J14" s="84" t="n"/>
      <c r="K14" s="84" t="n"/>
      <c r="L14" s="84" t="n"/>
      <c r="M14" s="84" t="n"/>
      <c r="N14" s="84" t="n"/>
      <c r="O14" s="84" t="n"/>
    </row>
    <row r="15" ht="100" customHeight="1">
      <c r="A15" s="83" t="inlineStr">
        <is>
          <t>Etiqueta de equipo</t>
        </is>
      </c>
      <c r="B15" s="84" t="n"/>
      <c r="C15" s="84" t="n"/>
      <c r="D15" s="84" t="n"/>
      <c r="E15" s="84" t="n"/>
      <c r="F15" s="84" t="n"/>
      <c r="G15" s="84" t="n"/>
      <c r="H15" s="84" t="n"/>
      <c r="I15" s="83" t="inlineStr">
        <is>
          <t>REJ-001 a REJ-003 (rejillas de descarga)</t>
        </is>
      </c>
      <c r="J15" s="84" t="n"/>
      <c r="K15" s="84" t="n"/>
      <c r="L15" s="84" t="n"/>
      <c r="M15" s="84" t="n"/>
      <c r="N15" s="84" t="n"/>
      <c r="O15" s="84" t="n"/>
    </row>
    <row r="16" ht="50" customHeight="1"/>
    <row r="17" ht="50" customHeight="1">
      <c r="A17" s="81" t="inlineStr">
        <is>
          <t>1. Servicio</t>
        </is>
      </c>
    </row>
    <row r="18" ht="500" customHeight="1">
      <c r="A18" s="85" t="inlineStr">
        <is>
          <t>1.1. Descarga libre a la atmósfera del caudal de ventilación del laboratorio, a través de la envolvente del recinto. Las rejillas son la trayectoria de salida permanente del aire y, con el sistema detenido, una vía potencial de ingreso: por ello incorporan malla anti-insectos. Ambiente exterior corrosivo (atmósfera clorada de planta de hipoclorito de calcio).</t>
        </is>
      </c>
    </row>
    <row r="19" ht="700" customHeight="1">
      <c r="A19" s="85" t="inlineStr">
        <is>
          <t>1.2. Disposición: las tres rejillas se instalan apiladas verticalmente, una sobre otra, en la pared opuesta a la inyección del ventilador, conforme a la disposición definida por BRINSA. Esta configuración fue validada mediante el modelo CFD del recinto: el chorro de inyección alimenta directamente la rejilla central y las recirculaciones superior e inferior distribuyen el caudal hacia las rejillas de los extremos, con velocidades faciales del orden de 3 m/s en los tres niveles (ver P2437-HV-INF-001, sección de resultados CFD).</t>
        </is>
      </c>
    </row>
    <row r="20" ht="50" customHeight="1"/>
    <row r="21" ht="150" customHeight="1">
      <c r="A21" s="81" t="inlineStr">
        <is>
          <t>2. Condiciones de operación y desempeño</t>
        </is>
      </c>
    </row>
    <row r="22" ht="100" customHeight="1">
      <c r="A22" s="86" t="inlineStr">
        <is>
          <t>Tabla 1. Condiciones de diseño (valores congelados de la memoria de cálculo).</t>
        </is>
      </c>
    </row>
    <row r="23" ht="50" customHeight="1">
      <c r="A23" s="82" t="inlineStr">
        <is>
          <t>Parámetro</t>
        </is>
      </c>
      <c r="B23" s="82" t="n"/>
      <c r="C23" s="82" t="n"/>
      <c r="D23" s="82" t="n"/>
      <c r="E23" s="82" t="n"/>
      <c r="F23" s="82" t="n"/>
      <c r="G23" s="82" t="n"/>
      <c r="H23" s="82" t="n"/>
      <c r="I23" s="82" t="inlineStr">
        <is>
          <t>Valor</t>
        </is>
      </c>
      <c r="J23" s="82" t="n"/>
      <c r="K23" s="82" t="n"/>
      <c r="L23" s="82" t="n"/>
      <c r="M23" s="82" t="n"/>
      <c r="N23" s="82" t="n"/>
      <c r="O23" s="82" t="n"/>
    </row>
    <row r="24" ht="50" customHeight="1">
      <c r="A24" s="83" t="inlineStr">
        <is>
          <t>Cantidad</t>
        </is>
      </c>
      <c r="B24" s="84" t="n"/>
      <c r="C24" s="84" t="n"/>
      <c r="D24" s="84" t="n"/>
      <c r="E24" s="84" t="n"/>
      <c r="F24" s="84" t="n"/>
      <c r="G24" s="84" t="n"/>
      <c r="H24" s="84" t="n"/>
      <c r="I24" s="83" t="inlineStr">
        <is>
          <t>3 unidades</t>
        </is>
      </c>
      <c r="J24" s="84" t="n"/>
      <c r="K24" s="84" t="n"/>
      <c r="L24" s="84" t="n"/>
      <c r="M24" s="84" t="n"/>
      <c r="N24" s="84" t="n"/>
      <c r="O24" s="84" t="n"/>
    </row>
    <row r="25" ht="150" customHeight="1">
      <c r="A25" s="83" t="inlineStr">
        <is>
          <t>Dimensiones faciales (unitarias)</t>
        </is>
      </c>
      <c r="B25" s="84" t="n"/>
      <c r="C25" s="84" t="n"/>
      <c r="D25" s="84" t="n"/>
      <c r="E25" s="84" t="n"/>
      <c r="F25" s="84" t="n"/>
      <c r="G25" s="84" t="n"/>
      <c r="H25" s="84" t="n"/>
      <c r="I25" s="83" t="inlineStr">
        <is>
          <t>353×336 mm (área facial 0.1187 m²)</t>
        </is>
      </c>
      <c r="J25" s="84" t="n"/>
      <c r="K25" s="84" t="n"/>
      <c r="L25" s="84" t="n"/>
      <c r="M25" s="84" t="n"/>
      <c r="N25" s="84" t="n"/>
      <c r="O25" s="84" t="n"/>
    </row>
    <row r="26" ht="100" customHeight="1">
      <c r="A26" s="83" t="inlineStr">
        <is>
          <t>Caudal total de descarga</t>
        </is>
      </c>
      <c r="B26" s="84" t="n"/>
      <c r="C26" s="84" t="n"/>
      <c r="D26" s="84" t="n"/>
      <c r="E26" s="84" t="n"/>
      <c r="F26" s="84" t="n"/>
      <c r="G26" s="84" t="n"/>
      <c r="H26" s="84" t="n"/>
      <c r="I26" s="83" t="inlineStr">
        <is>
          <t>3 840 m³/h (1.0667 m³/s)</t>
        </is>
      </c>
      <c r="J26" s="84" t="n"/>
      <c r="K26" s="84" t="n"/>
      <c r="L26" s="84" t="n"/>
      <c r="M26" s="84" t="n"/>
      <c r="N26" s="84" t="n"/>
      <c r="O26" s="84" t="n"/>
    </row>
    <row r="27" ht="100" customHeight="1">
      <c r="A27" s="83" t="inlineStr">
        <is>
          <t>Velocidad facial</t>
        </is>
      </c>
      <c r="B27" s="84" t="n"/>
      <c r="C27" s="84" t="n"/>
      <c r="D27" s="84" t="n"/>
      <c r="E27" s="84" t="n"/>
      <c r="F27" s="84" t="n"/>
      <c r="G27" s="84" t="n"/>
      <c r="H27" s="84" t="n"/>
      <c r="I27" s="83" t="inlineStr">
        <is>
          <t>3 m/s</t>
        </is>
      </c>
      <c r="J27" s="84" t="n"/>
      <c r="K27" s="84" t="n"/>
      <c r="L27" s="84" t="n"/>
      <c r="M27" s="84" t="n"/>
      <c r="N27" s="84" t="n"/>
      <c r="O27" s="84" t="n"/>
    </row>
    <row r="28" ht="200" customHeight="1">
      <c r="A28" s="83" t="inlineStr">
        <is>
          <t>ΔP unitaria (cierre de orificio, C_d = 0.60, en el sitio)</t>
        </is>
      </c>
      <c r="B28" s="84" t="n"/>
      <c r="C28" s="84" t="n"/>
      <c r="D28" s="84" t="n"/>
      <c r="E28" s="84" t="n"/>
      <c r="F28" s="84" t="n"/>
      <c r="G28" s="84" t="n"/>
      <c r="H28" s="84" t="n"/>
      <c r="I28" s="83" t="inlineStr">
        <is>
          <t>11 Pa</t>
        </is>
      </c>
      <c r="J28" s="84" t="n"/>
      <c r="K28" s="84" t="n"/>
      <c r="L28" s="84" t="n"/>
      <c r="M28" s="84" t="n"/>
      <c r="N28" s="84" t="n"/>
      <c r="O28" s="84" t="n"/>
    </row>
    <row r="29" ht="200" customHeight="1">
      <c r="A29" s="83" t="inlineStr">
        <is>
          <t>ΔP equivalente a densidad estándar (ρ = 1.2 kg/m³)</t>
        </is>
      </c>
      <c r="B29" s="84" t="n"/>
      <c r="C29" s="84" t="n"/>
      <c r="D29" s="84" t="n"/>
      <c r="E29" s="84" t="n"/>
      <c r="F29" s="84" t="n"/>
      <c r="G29" s="84" t="n"/>
      <c r="H29" s="84" t="n"/>
      <c r="I29" s="83" t="inlineStr">
        <is>
          <t>15 Pa</t>
        </is>
      </c>
      <c r="J29" s="84" t="n"/>
      <c r="K29" s="84" t="n"/>
      <c r="L29" s="84" t="n"/>
      <c r="M29" s="84" t="n"/>
      <c r="N29" s="84" t="n"/>
      <c r="O29" s="84" t="n"/>
    </row>
    <row r="30" ht="150" customHeight="1">
      <c r="A30" s="83" t="inlineStr">
        <is>
          <t>Densidad del aire de diseño</t>
        </is>
      </c>
      <c r="B30" s="84" t="n"/>
      <c r="C30" s="84" t="n"/>
      <c r="D30" s="84" t="n"/>
      <c r="E30" s="84" t="n"/>
      <c r="F30" s="84" t="n"/>
      <c r="G30" s="84" t="n"/>
      <c r="H30" s="84" t="n"/>
      <c r="I30" s="83" t="inlineStr">
        <is>
          <t>0.88 kg/m³ (2 558 msnm, 74.1 kPa)</t>
        </is>
      </c>
      <c r="J30" s="84" t="n"/>
      <c r="K30" s="84" t="n"/>
      <c r="L30" s="84" t="n"/>
      <c r="M30" s="84" t="n"/>
      <c r="N30" s="84" t="n"/>
      <c r="O30" s="84" t="n"/>
    </row>
    <row r="31" ht="50" customHeight="1"/>
    <row r="32" ht="400" customHeight="1">
      <c r="A32" s="85" t="inlineStr">
        <is>
          <t>2.1. Nota de contexto: la ΔP unitaria de 11 Pa (cierre de orificio, C_d = 0.60, a 3 m/s) es la pérdida de descarga libre a la atmósfera y se suma a la caída de presión de la etapa filtrante para definir el punto de trabajo del ventilador; no existe consigna de presión interior que sostener.</t>
        </is>
      </c>
    </row>
    <row r="33" ht="50" customHeight="1"/>
    <row r="34" ht="150" customHeight="1">
      <c r="A34" s="81" t="inlineStr">
        <is>
          <t>3. Construcción y áreas netas</t>
        </is>
      </c>
    </row>
    <row r="35" ht="50" customHeight="1">
      <c r="A35" s="86" t="inlineStr">
        <is>
          <t>Tabla 2. Especificación constructiva.</t>
        </is>
      </c>
    </row>
    <row r="36" ht="50" customHeight="1">
      <c r="A36" s="82" t="inlineStr">
        <is>
          <t>Característica</t>
        </is>
      </c>
      <c r="B36" s="82" t="n"/>
      <c r="C36" s="82" t="n"/>
      <c r="D36" s="82" t="n"/>
      <c r="E36" s="82" t="n"/>
      <c r="F36" s="82" t="n"/>
      <c r="G36" s="82" t="n"/>
      <c r="H36" s="82" t="n"/>
      <c r="I36" s="82" t="inlineStr">
        <is>
          <t>Especificación</t>
        </is>
      </c>
      <c r="J36" s="82" t="n"/>
      <c r="K36" s="82" t="n"/>
      <c r="L36" s="82" t="n"/>
      <c r="M36" s="82" t="n"/>
      <c r="N36" s="82" t="n"/>
      <c r="O36" s="82" t="n"/>
    </row>
    <row r="37" ht="200" customHeight="1">
      <c r="A37" s="83" t="inlineStr">
        <is>
          <t>Tipo de núcleo</t>
        </is>
      </c>
      <c r="B37" s="84" t="n"/>
      <c r="C37" s="84" t="n"/>
      <c r="D37" s="84" t="n"/>
      <c r="E37" s="84" t="n"/>
      <c r="F37" s="84" t="n"/>
      <c r="G37" s="84" t="n"/>
      <c r="H37" s="84" t="n"/>
      <c r="I37" s="83" t="inlineStr">
        <is>
          <t>Eggcrate (panal) ½×½×½ in (12.7 mm), máxima área libre</t>
        </is>
      </c>
      <c r="J37" s="84" t="n"/>
      <c r="K37" s="84" t="n"/>
      <c r="L37" s="84" t="n"/>
      <c r="M37" s="84" t="n"/>
      <c r="N37" s="84" t="n"/>
      <c r="O37" s="84" t="n"/>
    </row>
    <row r="38" ht="600" customHeight="1">
      <c r="A38" s="83" t="inlineStr">
        <is>
          <t>Área libre del núcleo</t>
        </is>
      </c>
      <c r="B38" s="84" t="n"/>
      <c r="C38" s="84" t="n"/>
      <c r="D38" s="84" t="n"/>
      <c r="E38" s="84" t="n"/>
      <c r="F38" s="84" t="n"/>
      <c r="G38" s="84" t="n"/>
      <c r="H38" s="84" t="n"/>
      <c r="I38" s="83" t="inlineStr">
        <is>
          <t>≥ 90 % (cifra repetida en catálogos del tipo; Airfoil RC-FCR5 (https://airfoil.com.au/product/removable-core-fixing-clip-eggcrate-grille-rc-fcr5/), consulta 2026-07-23)</t>
        </is>
      </c>
      <c r="J38" s="84" t="n"/>
      <c r="K38" s="84" t="n"/>
      <c r="L38" s="84" t="n"/>
      <c r="M38" s="84" t="n"/>
      <c r="N38" s="84" t="n"/>
      <c r="O38" s="84" t="n"/>
    </row>
    <row r="39" ht="950" customHeight="1">
      <c r="A39" s="83" t="inlineStr">
        <is>
          <t>Malla anti-insectos</t>
        </is>
      </c>
      <c r="B39" s="84" t="n"/>
      <c r="C39" s="84" t="n"/>
      <c r="D39" s="84" t="n"/>
      <c r="E39" s="84" t="n"/>
      <c r="F39" s="84" t="n"/>
      <c r="G39" s="84" t="n"/>
      <c r="H39" s="84" t="n"/>
      <c r="I39" s="83" t="inlineStr">
        <is>
          <t>Tejido 18×18, abertura ≈1 mm, alambre 0.45 mm, área abierta ≥ 48 % (tabla Industrial Metal Mesh (https://www.industrialmetalmesh.com/sale-54819921-micron-304-316l-stainless-steel-wire-mesh-screen-filter-mesh.html), consulta 2026-07-23); excluye insectos comunes</t>
        </is>
      </c>
      <c r="J39" s="84" t="n"/>
      <c r="K39" s="84" t="n"/>
      <c r="L39" s="84" t="n"/>
      <c r="M39" s="84" t="n"/>
      <c r="N39" s="84" t="n"/>
      <c r="O39" s="84" t="n"/>
    </row>
    <row r="40" ht="200" customHeight="1">
      <c r="A40" s="83" t="inlineStr">
        <is>
          <t>Área neta combinada (núcleo + malla)</t>
        </is>
      </c>
      <c r="B40" s="84" t="n"/>
      <c r="C40" s="84" t="n"/>
      <c r="D40" s="84" t="n"/>
      <c r="E40" s="84" t="n"/>
      <c r="F40" s="84" t="n"/>
      <c r="G40" s="84" t="n"/>
      <c r="H40" s="84" t="n"/>
      <c r="I40" s="83" t="inlineStr">
        <is>
          <t>≈ 45 % del área facial (dato típico: 0.90 × 0.50)</t>
        </is>
      </c>
      <c r="J40" s="84" t="n"/>
      <c r="K40" s="84" t="n"/>
      <c r="L40" s="84" t="n"/>
      <c r="M40" s="84" t="n"/>
      <c r="N40" s="84" t="n"/>
      <c r="O40" s="84" t="n"/>
    </row>
    <row r="41" ht="250" customHeight="1">
      <c r="A41" s="83" t="inlineStr">
        <is>
          <t>Material de la rejilla</t>
        </is>
      </c>
      <c r="B41" s="84" t="n"/>
      <c r="C41" s="84" t="n"/>
      <c r="D41" s="84" t="n"/>
      <c r="E41" s="84" t="n"/>
      <c r="F41" s="84" t="n"/>
      <c r="G41" s="84" t="n"/>
      <c r="H41" s="84" t="n"/>
      <c r="I41" s="83" t="inlineStr">
        <is>
          <t>Inox 316L (primera opción) o aluminio anodizado 6063-T5 (alternativa)</t>
        </is>
      </c>
      <c r="J41" s="84" t="n"/>
      <c r="K41" s="84" t="n"/>
      <c r="L41" s="84" t="n"/>
      <c r="M41" s="84" t="n"/>
      <c r="N41" s="84" t="n"/>
      <c r="O41" s="84" t="n"/>
    </row>
    <row r="42" ht="100" customHeight="1">
      <c r="A42" s="83" t="inlineStr">
        <is>
          <t>Material de la malla</t>
        </is>
      </c>
      <c r="B42" s="84" t="n"/>
      <c r="C42" s="84" t="n"/>
      <c r="D42" s="84" t="n"/>
      <c r="E42" s="84" t="n"/>
      <c r="F42" s="84" t="n"/>
      <c r="G42" s="84" t="n"/>
      <c r="H42" s="84" t="n"/>
      <c r="I42" s="83" t="inlineStr">
        <is>
          <t>Inox 316</t>
        </is>
      </c>
      <c r="J42" s="84" t="n"/>
      <c r="K42" s="84" t="n"/>
      <c r="L42" s="84" t="n"/>
      <c r="M42" s="84" t="n"/>
      <c r="N42" s="84" t="n"/>
      <c r="O42" s="84" t="n"/>
    </row>
    <row r="43" ht="150" customHeight="1">
      <c r="A43" s="83" t="inlineStr">
        <is>
          <t>Montaje de la malla</t>
        </is>
      </c>
      <c r="B43" s="84" t="n"/>
      <c r="C43" s="84" t="n"/>
      <c r="D43" s="84" t="n"/>
      <c r="E43" s="84" t="n"/>
      <c r="F43" s="84" t="n"/>
      <c r="G43" s="84" t="n"/>
      <c r="H43" s="84" t="n"/>
      <c r="I43" s="83" t="inlineStr">
        <is>
          <t>Marco desmontable para limpieza periódica</t>
        </is>
      </c>
      <c r="J43" s="84" t="n"/>
      <c r="K43" s="84" t="n"/>
      <c r="L43" s="84" t="n"/>
      <c r="M43" s="84" t="n"/>
      <c r="N43" s="84" t="n"/>
      <c r="O43" s="84" t="n"/>
    </row>
    <row r="44" ht="350" customHeight="1">
      <c r="A44" s="83" t="inlineStr">
        <is>
          <t>Par galvánico</t>
        </is>
      </c>
      <c r="B44" s="84" t="n"/>
      <c r="C44" s="84" t="n"/>
      <c r="D44" s="84" t="n"/>
      <c r="E44" s="84" t="n"/>
      <c r="F44" s="84" t="n"/>
      <c r="G44" s="84" t="n"/>
      <c r="H44" s="84" t="n"/>
      <c r="I44" s="83" t="inlineStr">
        <is>
          <t>Si se combina marco de aluminio con malla inox, aislamiento dieléctrico (dato típico de ingeniería)</t>
        </is>
      </c>
      <c r="J44" s="84" t="n"/>
      <c r="K44" s="84" t="n"/>
      <c r="L44" s="84" t="n"/>
      <c r="M44" s="84" t="n"/>
      <c r="N44" s="84" t="n"/>
      <c r="O44" s="84" t="n"/>
    </row>
    <row r="45" ht="150" customHeight="1">
      <c r="A45" s="83" t="inlineStr">
        <is>
          <t>Ensayo de desempeño</t>
        </is>
      </c>
      <c r="B45" s="84" t="n"/>
      <c r="C45" s="84" t="n"/>
      <c r="D45" s="84" t="n"/>
      <c r="E45" s="84" t="n"/>
      <c r="F45" s="84" t="n"/>
      <c r="G45" s="84" t="n"/>
      <c r="H45" s="84" t="n"/>
      <c r="I45" s="83" t="inlineStr">
        <is>
          <t>ASHRAE 70 (medición de rejillas)</t>
        </is>
      </c>
      <c r="J45" s="84" t="n"/>
      <c r="K45" s="84" t="n"/>
      <c r="L45" s="84" t="n"/>
      <c r="M45" s="84" t="n"/>
      <c r="N45" s="84" t="n"/>
      <c r="O45" s="84" t="n"/>
    </row>
    <row r="46" ht="50" customHeight="1"/>
    <row r="47" ht="350" customHeight="1">
      <c r="A47" s="85" t="inlineStr">
        <is>
          <t>3.1. La malla domina la pérdida del conjunto; el dimensionamiento por área neta combinada y la ΔP calculada por cierre de orificio (11 Pa) deben verificarse contra el área efectiva (Ak) del fabricante seleccionado (por confirmar con proveedor).</t>
        </is>
      </c>
    </row>
    <row r="48" ht="50" customHeight="1"/>
    <row r="49" ht="100" customHeight="1">
      <c r="A49" s="81" t="inlineStr">
        <is>
          <t>4. Candidatos comerciales</t>
        </is>
      </c>
    </row>
    <row r="50" ht="100" customHeight="1">
      <c r="A50" s="86" t="inlineStr">
        <is>
          <t>Tabla 3. Candidatos (consulta 2026-07-23).</t>
        </is>
      </c>
    </row>
    <row r="51" ht="100" customHeight="1">
      <c r="A51" s="82" t="inlineStr">
        <is>
          <t>Producto</t>
        </is>
      </c>
      <c r="B51" s="82" t="n"/>
      <c r="C51" s="82" t="n"/>
      <c r="D51" s="82" t="inlineStr">
        <is>
          <t>Tipo / material</t>
        </is>
      </c>
      <c r="E51" s="82" t="n"/>
      <c r="F51" s="82" t="n"/>
      <c r="G51" s="82" t="inlineStr">
        <is>
          <t>Pros</t>
        </is>
      </c>
      <c r="H51" s="82" t="n"/>
      <c r="I51" s="82" t="n"/>
      <c r="J51" s="82" t="inlineStr">
        <is>
          <t>Contras</t>
        </is>
      </c>
      <c r="K51" s="82" t="n"/>
      <c r="L51" s="82" t="n"/>
      <c r="M51" s="82" t="inlineStr">
        <is>
          <t>Fuente</t>
        </is>
      </c>
      <c r="N51" s="82" t="n"/>
      <c r="O51" s="82" t="n"/>
    </row>
    <row r="52" ht="350" customHeight="1">
      <c r="A52" s="83" t="inlineStr">
        <is>
          <t>Titus 50F / 50R</t>
        </is>
      </c>
      <c r="B52" s="84" t="n"/>
      <c r="C52" s="84" t="n"/>
      <c r="D52" s="83" t="inlineStr">
        <is>
          <t>Eggcrate ½ in; aluminio, con versión íntegramente inox de fábrica</t>
        </is>
      </c>
      <c r="E52" s="84" t="n"/>
      <c r="F52" s="84" t="n"/>
      <c r="G52" s="83" t="inlineStr">
        <is>
          <t>«Highest free area of any return grille»; única opción inox de catálogo</t>
        </is>
      </c>
      <c r="H52" s="84" t="n"/>
      <c r="I52" s="84" t="n"/>
      <c r="J52" s="83" t="inlineStr">
        <is>
          <t>Importación; tamaño 353×336 por pedido</t>
        </is>
      </c>
      <c r="K52" s="84" t="n"/>
      <c r="L52" s="84" t="n"/>
      <c r="M52" s="83" t="inlineStr">
        <is>
          <t>Titus 50F (PDF) (https://www.titus-hvac.com/file/1228/50F_50Rrprod_specialized_2017.pdf)</t>
        </is>
      </c>
      <c r="N52" s="84" t="n"/>
      <c r="O52" s="84" t="n"/>
    </row>
    <row r="53" ht="350" customHeight="1">
      <c r="A53" s="83" t="inlineStr">
        <is>
          <t>Krueger EGC5</t>
        </is>
      </c>
      <c r="B53" s="84" t="n"/>
      <c r="C53" s="84" t="n"/>
      <c r="D53" s="83" t="inlineStr">
        <is>
          <t>Eggcrate ½ in; aluminio</t>
        </is>
      </c>
      <c r="E53" s="84" t="n"/>
      <c r="F53" s="84" t="n"/>
      <c r="G53" s="83" t="inlineStr">
        <is>
          <t>Amplia gama de tamaños (6×4 in a 96×96 in)</t>
        </is>
      </c>
      <c r="H53" s="84" t="n"/>
      <c r="I53" s="84" t="n"/>
      <c r="J53" s="83" t="inlineStr">
        <is>
          <t>Sin ejecución inox</t>
        </is>
      </c>
      <c r="K53" s="84" t="n"/>
      <c r="L53" s="84" t="n"/>
      <c r="M53" s="83" t="inlineStr">
        <is>
          <t>Krueger EGC5 (https://www.krueger-hvac.com/Catalog%20Home/Grilles/Grilles%20-%20Return/EGC5)</t>
        </is>
      </c>
      <c r="N53" s="84" t="n"/>
      <c r="O53" s="84" t="n"/>
    </row>
    <row r="54" ht="350" customHeight="1">
      <c r="A54" s="83" t="inlineStr">
        <is>
          <t>ProAire S.A.S (Bogotá)</t>
        </is>
      </c>
      <c r="B54" s="84" t="n"/>
      <c r="C54" s="84" t="n"/>
      <c r="D54" s="83" t="inlineStr">
        <is>
          <t>Fabricación a medida con corte láser, inox 316</t>
        </is>
      </c>
      <c r="E54" s="84" t="n"/>
      <c r="F54" s="84" t="n"/>
      <c r="G54" s="83" t="inlineStr">
        <is>
          <t>Medida exacta 353×336 y ejecución inox 316L local; vía recomendada</t>
        </is>
      </c>
      <c r="H54" s="84" t="n"/>
      <c r="I54" s="84" t="n"/>
      <c r="J54" s="83" t="inlineStr">
        <is>
          <t>Submittal y Ak por confirmar con proveedor</t>
        </is>
      </c>
      <c r="K54" s="84" t="n"/>
      <c r="L54" s="84" t="n"/>
      <c r="M54" s="83" t="inlineStr">
        <is>
          <t>proairecolombia.com (https://www.proairecolombia.com/productos/rejillas-y-difusores.html)</t>
        </is>
      </c>
      <c r="N54" s="84" t="n"/>
      <c r="O54" s="84" t="n"/>
    </row>
    <row r="55" ht="250" customHeight="1">
      <c r="A55" s="83" t="inlineStr">
        <is>
          <t>Laminaire (Colombia)</t>
        </is>
      </c>
      <c r="B55" s="84" t="n"/>
      <c r="C55" s="84" t="n"/>
      <c r="D55" s="83" t="inlineStr">
        <is>
          <t>Rejillas y difusores en aluminio a pedido</t>
        </is>
      </c>
      <c r="E55" s="84" t="n"/>
      <c r="F55" s="84" t="n"/>
      <c r="G55" s="83" t="inlineStr">
        <is>
          <t>Fabricación local con software de selección; marco para malla a pedido</t>
        </is>
      </c>
      <c r="H55" s="84" t="n"/>
      <c r="I55" s="84" t="n"/>
      <c r="J55" s="83" t="inlineStr">
        <is>
          <t>Confirmar ejecución inox</t>
        </is>
      </c>
      <c r="K55" s="84" t="n"/>
      <c r="L55" s="84" t="n"/>
      <c r="M55" s="83" t="inlineStr">
        <is>
          <t>laminaire.net (https://laminaire.net/)</t>
        </is>
      </c>
      <c r="N55" s="84" t="n"/>
      <c r="O55" s="84" t="n"/>
    </row>
    <row r="56" ht="150" customHeight="1">
      <c r="A56" s="83" t="inlineStr">
        <is>
          <t>CL Ingeniería (Bogotá)</t>
        </is>
      </c>
      <c r="B56" s="84" t="n"/>
      <c r="C56" s="84" t="n"/>
      <c r="D56" s="83" t="inlineStr">
        <is>
          <t>Rejillas y accesorios HVAC</t>
        </is>
      </c>
      <c r="E56" s="84" t="n"/>
      <c r="F56" s="84" t="n"/>
      <c r="G56" s="83" t="inlineStr">
        <is>
          <t>Canal local adicional</t>
        </is>
      </c>
      <c r="H56" s="84" t="n"/>
      <c r="I56" s="84" t="n"/>
      <c r="J56" s="83" t="inlineStr">
        <is>
          <t>Catálogo genérico</t>
        </is>
      </c>
      <c r="K56" s="84" t="n"/>
      <c r="L56" s="84" t="n"/>
      <c r="M56" s="83" t="inlineStr">
        <is>
          <t>clingenieria.co (https://clingenieria.co/)</t>
        </is>
      </c>
      <c r="N56" s="84" t="n"/>
      <c r="O56" s="84" t="n"/>
    </row>
    <row r="57" ht="50" customHeight="1"/>
    <row r="58" ht="50" customHeight="1">
      <c r="A58" s="81" t="inlineStr">
        <is>
          <t>5. Instalación</t>
        </is>
      </c>
    </row>
    <row r="59" ht="450" customHeight="1">
      <c r="A59" s="85" t="inlineStr">
        <is>
          <t>5.1. Montaje a ras de muro exterior con marco perimetral sellado con silicona RTV neutra (compatible con hipoclorito; Chemical Resistance of RTV Silicone Sealants (PDF) (https://irp.cdn-website.com/63168859/files/uploaded/Chemical%20Resistance%20of%20RTV%20Silicone%20Sealants%20Chart.pdf), consulta 2026-07-23) y ferretería inox 316 (A4).</t>
        </is>
      </c>
    </row>
    <row r="60" ht="150" customHeight="1">
      <c r="A60" s="85" t="inlineStr">
        <is>
          <t>5.2. Las bocas exteriores se orientan preferentemente a sotavento respecto de las fuentes de cloro de la planta.</t>
        </is>
      </c>
    </row>
    <row r="61" ht="150" customHeight="1">
      <c r="A61" s="85" t="inlineStr">
        <is>
          <t>5.3. Programa de limpieza de la malla según carga de polvo observada en comisionamiento (dato típico de operación).</t>
        </is>
      </c>
    </row>
    <row r="62" ht="50" customHeight="1"/>
    <row r="63" ht="100" customHeight="1">
      <c r="A63" s="81" t="inlineStr">
        <is>
          <t>6. Normas aplicables</t>
        </is>
      </c>
    </row>
    <row r="64" ht="500" customHeight="1">
      <c r="A64" s="85" t="inlineStr">
        <is>
          <t>6.1. ASHRAE 70 (método de ensayo y reporte de desempeño de rejillas); correlación de área libre para transferencia de aire según Building Science BA-0006 (https://buildingscience.com/sites/default/files/migrate/pdf/BA-0006_Discuss_transfer_grilles.pdf) (consulta 2026-07-23); ISO 12944 / NACE-AMPP para la selección de materiales en el ambiente clorado.</t>
        </is>
      </c>
    </row>
  </sheetData>
  <mergeCells count="96">
    <mergeCell ref="I44:O44"/>
    <mergeCell ref="D53:F53"/>
    <mergeCell ref="N3:O3"/>
    <mergeCell ref="A25:H25"/>
    <mergeCell ref="I30:O30"/>
    <mergeCell ref="N5:O5"/>
    <mergeCell ref="C2:L3"/>
    <mergeCell ref="A52:C52"/>
    <mergeCell ref="J52:L52"/>
    <mergeCell ref="M53:O53"/>
    <mergeCell ref="A58:O58"/>
    <mergeCell ref="G52:I52"/>
    <mergeCell ref="I41:O41"/>
    <mergeCell ref="M55:O55"/>
    <mergeCell ref="A29:H29"/>
    <mergeCell ref="A38:H38"/>
    <mergeCell ref="M52:O52"/>
    <mergeCell ref="I43:O43"/>
    <mergeCell ref="A13:H13"/>
    <mergeCell ref="A44:H44"/>
    <mergeCell ref="I24:O24"/>
    <mergeCell ref="B1:B5"/>
    <mergeCell ref="A40:H40"/>
    <mergeCell ref="A15:H15"/>
    <mergeCell ref="A24:H24"/>
    <mergeCell ref="A55:C55"/>
    <mergeCell ref="I10:O10"/>
    <mergeCell ref="N2:O2"/>
    <mergeCell ref="G55:I55"/>
    <mergeCell ref="A27:H27"/>
    <mergeCell ref="G51:I51"/>
    <mergeCell ref="D55:F55"/>
    <mergeCell ref="I11:O11"/>
    <mergeCell ref="I45:O45"/>
    <mergeCell ref="G54:I54"/>
    <mergeCell ref="D54:F54"/>
    <mergeCell ref="A42:H42"/>
    <mergeCell ref="M56:O56"/>
    <mergeCell ref="G56:I56"/>
    <mergeCell ref="A51:C51"/>
    <mergeCell ref="I28:O28"/>
    <mergeCell ref="I37:O37"/>
    <mergeCell ref="N6:O6"/>
    <mergeCell ref="A28:H28"/>
    <mergeCell ref="N4:O4"/>
    <mergeCell ref="J53:L53"/>
    <mergeCell ref="I23:O23"/>
    <mergeCell ref="A30:H30"/>
    <mergeCell ref="G53:I53"/>
    <mergeCell ref="J55:L55"/>
    <mergeCell ref="J54:L54"/>
    <mergeCell ref="A41:H41"/>
    <mergeCell ref="J56:L56"/>
    <mergeCell ref="A17:O17"/>
    <mergeCell ref="D51:F51"/>
    <mergeCell ref="I27:O27"/>
    <mergeCell ref="A26:H26"/>
    <mergeCell ref="I36:O36"/>
    <mergeCell ref="A63:O63"/>
    <mergeCell ref="A34:O34"/>
    <mergeCell ref="A9:O9"/>
    <mergeCell ref="A1:A5"/>
    <mergeCell ref="C1:L1"/>
    <mergeCell ref="A10:H10"/>
    <mergeCell ref="I12:O12"/>
    <mergeCell ref="M51:O51"/>
    <mergeCell ref="A54:C54"/>
    <mergeCell ref="A39:H39"/>
    <mergeCell ref="I14:O14"/>
    <mergeCell ref="I39:O39"/>
    <mergeCell ref="M54:O54"/>
    <mergeCell ref="A56:C56"/>
    <mergeCell ref="I29:O29"/>
    <mergeCell ref="A36:H36"/>
    <mergeCell ref="A11:H11"/>
    <mergeCell ref="I38:O38"/>
    <mergeCell ref="A45:H45"/>
    <mergeCell ref="A21:O21"/>
    <mergeCell ref="I13:O13"/>
    <mergeCell ref="I40:O40"/>
    <mergeCell ref="D56:F56"/>
    <mergeCell ref="I15:O15"/>
    <mergeCell ref="A53:C53"/>
    <mergeCell ref="A37:H37"/>
    <mergeCell ref="N1:O1"/>
    <mergeCell ref="A12:H12"/>
    <mergeCell ref="J51:L51"/>
    <mergeCell ref="I26:O26"/>
    <mergeCell ref="A14:H14"/>
    <mergeCell ref="A23:H23"/>
    <mergeCell ref="I25:O25"/>
    <mergeCell ref="C4:L6"/>
    <mergeCell ref="A43:H43"/>
    <mergeCell ref="A49:O49"/>
    <mergeCell ref="D52:F52"/>
    <mergeCell ref="I42:O42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Arboleda Genes</dc:creator>
  <dcterms:created xsi:type="dcterms:W3CDTF">2022-01-25T18:39:15Z</dcterms:created>
  <dcterms:modified xsi:type="dcterms:W3CDTF">2026-09-17T15:27:23Z</dcterms:modified>
  <cp:lastModifiedBy>JAG DESIGN</cp:lastModifiedBy>
  <cp:lastPrinted>2026-07-23T18:36:47Z</cp:lastPrinted>
</cp:coreProperties>
</file>