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name="PORTADA" sheetId="1" state="visible" r:id="rId1"/>
    <sheet name="ESPECIFICACIÓN" sheetId="2" state="visible" r:id="rId2"/>
  </sheets>
  <definedNames>
    <definedName name="_xlnm.Print_Area" localSheetId="0">'PORTADA'!$A$1:$BZ$66</definedName>
  </definedNames>
  <calcPr calcId="191029" calcMode="auto" fullCalcOnLoad="1"/>
</workbook>
</file>

<file path=xl/styles.xml><?xml version="1.0" encoding="utf-8"?>
<styleSheet xmlns="http://schemas.openxmlformats.org/spreadsheetml/2006/main">
  <numFmts count="2">
    <numFmt numFmtId="164" formatCode="0.0"/>
    <numFmt numFmtId="165" formatCode="0.00000000000000"/>
  </numFmts>
  <fonts count="30">
    <font>
      <name val="Calibri"/>
      <family val="2"/>
      <color theme="1"/>
      <sz val="11"/>
      <scheme val="minor"/>
    </font>
    <font>
      <name val="Verdana"/>
      <family val="2"/>
      <color theme="1"/>
      <sz val="11"/>
    </font>
    <font>
      <name val="Calibri"/>
      <family val="2"/>
      <color theme="1"/>
      <sz val="11"/>
      <scheme val="minor"/>
    </font>
    <font>
      <name val="Verdana"/>
      <family val="2"/>
      <color rgb="FF00B050"/>
      <sz val="12"/>
    </font>
    <font>
      <name val="Verdana"/>
      <family val="2"/>
      <b val="1"/>
      <sz val="12"/>
    </font>
    <font>
      <name val="Verdana"/>
      <family val="2"/>
      <sz val="12"/>
    </font>
    <font>
      <name val="Verdana"/>
      <family val="2"/>
      <color theme="1"/>
      <sz val="12"/>
    </font>
    <font>
      <name val="Verdana"/>
      <family val="2"/>
      <color rgb="FFEAEAEA"/>
      <sz val="12"/>
    </font>
    <font>
      <name val="Verdana"/>
      <family val="2"/>
      <b val="1"/>
      <color theme="1"/>
      <sz val="12"/>
    </font>
    <font>
      <name val="Verdana"/>
      <family val="2"/>
      <b val="1"/>
      <color theme="1"/>
      <sz val="15"/>
    </font>
    <font>
      <name val="Verdana"/>
      <family val="2"/>
      <b val="1"/>
      <i val="1"/>
      <color theme="1"/>
      <sz val="15"/>
    </font>
    <font>
      <name val="Verdana"/>
      <family val="2"/>
      <color theme="1"/>
      <sz val="15"/>
    </font>
    <font>
      <name val="Verdana"/>
      <family val="2"/>
      <b val="1"/>
      <sz val="15"/>
    </font>
    <font>
      <name val="Calibri"/>
      <family val="2"/>
      <sz val="8"/>
      <scheme val="minor"/>
    </font>
    <font>
      <name val="Verdana"/>
      <family val="2"/>
      <color theme="1"/>
      <sz val="20"/>
    </font>
    <font>
      <name val="Verdana"/>
      <family val="2"/>
      <b val="1"/>
      <color rgb="FFFFFFFF"/>
      <sz val="22"/>
    </font>
    <font>
      <name val="Verdana"/>
      <family val="2"/>
      <b val="1"/>
      <color theme="1"/>
      <sz val="16"/>
    </font>
    <font>
      <name val="Times New Roman"/>
      <b val="1"/>
      <color rgb="00375623"/>
      <sz val="28"/>
    </font>
    <font>
      <name val="Times New Roman"/>
      <sz val="28"/>
    </font>
    <font>
      <name val="Times New Roman"/>
      <i val="1"/>
      <color rgb="00404040"/>
      <sz val="28"/>
    </font>
    <font>
      <name val="Times New Roman"/>
      <b val="1"/>
      <sz val="28"/>
    </font>
    <font>
      <name val="Times New Roman"/>
      <b val="1"/>
      <color theme="1"/>
      <sz val="15"/>
    </font>
    <font>
      <name val="Times New Roman"/>
      <b val="1"/>
      <i val="1"/>
      <color theme="1"/>
      <sz val="15"/>
    </font>
    <font>
      <name val="Times New Roman"/>
      <color theme="1"/>
      <sz val="11"/>
    </font>
    <font>
      <name val="Times New Roman"/>
      <color theme="1"/>
      <sz val="15"/>
    </font>
    <font>
      <name val="Times New Roman"/>
      <b val="1"/>
      <color theme="1"/>
      <sz val="16"/>
    </font>
    <font>
      <name val="Times New Roman"/>
      <color rgb="FF00B050"/>
      <sz val="12"/>
    </font>
    <font>
      <name val="Times New Roman"/>
      <b val="1"/>
      <sz val="12"/>
    </font>
    <font>
      <name val="Times New Roman"/>
      <color theme="1"/>
      <sz val="12"/>
    </font>
    <font>
      <name val="Times New Roman"/>
      <b val="1"/>
      <color theme="1"/>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00C6E0B4"/>
        <bgColor rgb="00C6E0B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right style="thin"/>
      <top style="thin"/>
      <bottom style="thin"/>
    </border>
  </borders>
  <cellStyleXfs count="4">
    <xf numFmtId="0" fontId="2" fillId="0" borderId="0"/>
    <xf numFmtId="0" fontId="2" fillId="0" borderId="0"/>
    <xf numFmtId="0" fontId="2" fillId="0" borderId="0"/>
    <xf numFmtId="43" fontId="2" fillId="0" borderId="0"/>
  </cellStyleXfs>
  <cellXfs count="88">
    <xf numFmtId="0" fontId="0" fillId="0" borderId="0" pivotButton="0" quotePrefix="0" xfId="0"/>
    <xf numFmtId="0" fontId="1" fillId="0" borderId="0" pivotButton="0" quotePrefix="0" xfId="0"/>
    <xf numFmtId="0" fontId="6" fillId="0" borderId="0" pivotButton="0" quotePrefix="0" xfId="2"/>
    <xf numFmtId="0" fontId="6" fillId="0"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1">
      <alignment horizontal="left"/>
    </xf>
    <xf numFmtId="0" fontId="7" fillId="0" borderId="0" pivotButton="0" quotePrefix="0" xfId="2"/>
    <xf numFmtId="0" fontId="6" fillId="0" borderId="0" applyAlignment="1" pivotButton="0" quotePrefix="0" xfId="1">
      <alignment horizontal="left" vertical="center"/>
    </xf>
    <xf numFmtId="1" fontId="6" fillId="0" borderId="0" applyAlignment="1" pivotButton="0" quotePrefix="0" xfId="1">
      <alignment horizontal="center"/>
    </xf>
    <xf numFmtId="43" fontId="6" fillId="0" borderId="0" applyAlignment="1" pivotButton="0" quotePrefix="0" xfId="3">
      <alignment vertical="center"/>
    </xf>
    <xf numFmtId="0" fontId="6" fillId="0" borderId="0" applyAlignment="1" pivotButton="0" quotePrefix="0" xfId="1">
      <alignment vertical="center"/>
    </xf>
    <xf numFmtId="0" fontId="9" fillId="0" borderId="1" applyAlignment="1" pivotButton="0" quotePrefix="0" xfId="0">
      <alignment vertical="center" wrapText="1"/>
    </xf>
    <xf numFmtId="0" fontId="12" fillId="0" borderId="0" pivotButton="0" quotePrefix="0" xfId="0"/>
    <xf numFmtId="0" fontId="9" fillId="0" borderId="1" applyAlignment="1" pivotButton="0" quotePrefix="0" xfId="0">
      <alignment horizontal="center" vertical="center" wrapText="1"/>
    </xf>
    <xf numFmtId="0" fontId="6" fillId="0" borderId="0" applyAlignment="1" pivotButton="0" quotePrefix="0" xfId="2">
      <alignment horizontal="right"/>
    </xf>
    <xf numFmtId="0" fontId="6" fillId="2" borderId="0" pivotButton="0" quotePrefix="0" xfId="2"/>
    <xf numFmtId="0" fontId="14" fillId="0" borderId="0" pivotButton="0" quotePrefix="0" xfId="0"/>
    <xf numFmtId="0" fontId="16" fillId="3" borderId="1" applyAlignment="1" pivotButton="0" quotePrefix="0" xfId="0">
      <alignment horizontal="center" vertical="center"/>
    </xf>
    <xf numFmtId="0" fontId="6" fillId="0" borderId="0" applyAlignment="1" pivotButton="0" quotePrefix="0" xfId="1">
      <alignment horizontal="center" vertical="center" wrapText="1"/>
    </xf>
    <xf numFmtId="0" fontId="6" fillId="0" borderId="1" applyAlignment="1" pivotButton="0" quotePrefix="0" xfId="1">
      <alignment horizontal="center" vertical="center" wrapText="1"/>
    </xf>
    <xf numFmtId="0" fontId="6" fillId="0" borderId="0" applyAlignment="1" pivotButton="0" quotePrefix="0" xfId="1">
      <alignment horizontal="center"/>
    </xf>
    <xf numFmtId="164" fontId="6" fillId="0" borderId="1" applyAlignment="1" pivotButton="0" quotePrefix="0" xfId="1">
      <alignment horizontal="center" vertical="center" wrapText="1"/>
    </xf>
    <xf numFmtId="0" fontId="8" fillId="0" borderId="1" applyAlignment="1" pivotButton="0" quotePrefix="0" xfId="1">
      <alignment horizontal="center" vertical="center"/>
    </xf>
    <xf numFmtId="0" fontId="6" fillId="0" borderId="1" applyAlignment="1" pivotButton="0" quotePrefix="0" xfId="1">
      <alignment horizontal="center" vertical="center"/>
    </xf>
    <xf numFmtId="165" fontId="5" fillId="0" borderId="1" applyAlignment="1" applyProtection="1" pivotButton="0" quotePrefix="0" xfId="1">
      <alignment horizontal="left" vertical="center" indent="1"/>
      <protection locked="1" hidden="1"/>
    </xf>
    <xf numFmtId="0" fontId="4" fillId="0" borderId="1" applyAlignment="1" pivotButton="0" quotePrefix="0" xfId="1">
      <alignment horizontal="left" vertical="center" indent="1"/>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3" fillId="0" borderId="1" applyAlignment="1" pivotButton="0" quotePrefix="0" xfId="1">
      <alignment horizontal="center"/>
    </xf>
    <xf numFmtId="0" fontId="3" fillId="0" borderId="1" applyAlignment="1" pivotButton="0" quotePrefix="0" xfId="1">
      <alignment horizontal="left" vertical="center"/>
    </xf>
    <xf numFmtId="49" fontId="5" fillId="0" borderId="1" applyAlignment="1" pivotButton="0" quotePrefix="0" xfId="1">
      <alignment horizontal="center" vertical="center" wrapText="1"/>
    </xf>
    <xf numFmtId="0" fontId="11" fillId="0" borderId="1" applyAlignment="1" pivotButton="0" quotePrefix="0" xfId="0">
      <alignment horizontal="left" vertical="center" wrapText="1" indent="4"/>
    </xf>
    <xf numFmtId="0" fontId="15" fillId="0" borderId="2" applyAlignment="1" pivotButton="0" quotePrefix="0" xfId="0">
      <alignment horizontal="center"/>
    </xf>
    <xf numFmtId="0" fontId="15" fillId="0" borderId="0"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0" borderId="1" applyAlignment="1" pivotButton="0" quotePrefix="0" xfId="1">
      <alignment horizontal="center" vertical="center" wrapText="1"/>
    </xf>
    <xf numFmtId="164" fontId="1" fillId="0" borderId="1" applyAlignment="1" pivotButton="0" quotePrefix="0" xfId="1">
      <alignment horizontal="center" vertical="center" wrapText="1"/>
    </xf>
    <xf numFmtId="14" fontId="1" fillId="0" borderId="1" applyAlignment="1" pivotButton="0" quotePrefix="0" xfId="1">
      <alignment horizontal="center" vertical="center" wrapText="1"/>
    </xf>
    <xf numFmtId="165" fontId="1" fillId="0" borderId="1" applyAlignment="1" pivotButton="0" quotePrefix="0" xfId="1">
      <alignment horizontal="center" vertical="center" wrapText="1"/>
    </xf>
    <xf numFmtId="0" fontId="8" fillId="4" borderId="1" applyAlignment="1" pivotButton="0" quotePrefix="0" xfId="1">
      <alignment horizontal="center" vertical="center"/>
    </xf>
    <xf numFmtId="0" fontId="8" fillId="4" borderId="1" applyAlignment="1" pivotButton="0" quotePrefix="0" xfId="1">
      <alignment horizontal="center" vertical="center" wrapText="1"/>
    </xf>
    <xf numFmtId="164" fontId="8" fillId="4" borderId="1" applyAlignment="1" pivotButton="0" quotePrefix="0" xfId="1">
      <alignment horizontal="center" vertical="center" wrapText="1"/>
    </xf>
    <xf numFmtId="0" fontId="26" fillId="0" borderId="1" applyAlignment="1" pivotButton="0" quotePrefix="0" xfId="1">
      <alignment horizontal="center"/>
    </xf>
    <xf numFmtId="0" fontId="23" fillId="0" borderId="2" pivotButton="0" quotePrefix="0" xfId="0"/>
    <xf numFmtId="0" fontId="23" fillId="0" borderId="4" pivotButton="0" quotePrefix="0" xfId="0"/>
    <xf numFmtId="0" fontId="26" fillId="0" borderId="1" applyAlignment="1" pivotButton="0" quotePrefix="0" xfId="1">
      <alignment horizontal="left" vertical="center"/>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9" applyProtection="1" pivotButton="0" quotePrefix="0" xfId="0">
      <protection locked="1" hidden="1"/>
    </xf>
    <xf numFmtId="0" fontId="0" fillId="0" borderId="10" applyProtection="1" pivotButton="0" quotePrefix="0" xfId="0">
      <protection locked="1" hidden="1"/>
    </xf>
    <xf numFmtId="0" fontId="23" fillId="0" borderId="3" pivotButton="0" quotePrefix="0" xfId="0"/>
    <xf numFmtId="0" fontId="23" fillId="0" borderId="0" pivotButton="0" quotePrefix="0" xfId="0"/>
    <xf numFmtId="0" fontId="23" fillId="0" borderId="5"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3" fillId="0" borderId="6" pivotButton="0" quotePrefix="0" xfId="0"/>
    <xf numFmtId="0" fontId="23" fillId="0" borderId="7" pivotButton="0" quotePrefix="0" xfId="0"/>
    <xf numFmtId="0" fontId="23" fillId="0" borderId="8" pivotButton="0" quotePrefix="0" xfId="0"/>
    <xf numFmtId="0" fontId="27" fillId="0" borderId="1" applyAlignment="1" pivotButton="0" quotePrefix="0" xfId="1">
      <alignment horizontal="center" vertical="center"/>
    </xf>
    <xf numFmtId="0" fontId="23" fillId="0" borderId="9" pivotButton="0" quotePrefix="0" xfId="0"/>
    <xf numFmtId="0" fontId="23" fillId="0" borderId="10" pivotButton="0" quotePrefix="0" xfId="0"/>
    <xf numFmtId="0" fontId="28" fillId="0" borderId="0" applyAlignment="1" pivotButton="0" quotePrefix="0" xfId="1">
      <alignment horizontal="center"/>
    </xf>
    <xf numFmtId="0" fontId="0" fillId="0" borderId="3" pivotButton="0" quotePrefix="0" xfId="0"/>
    <xf numFmtId="0" fontId="29" fillId="4" borderId="1" applyAlignment="1" pivotButton="0" quotePrefix="0" xfId="1">
      <alignment horizontal="center" vertical="center" wrapText="1"/>
    </xf>
    <xf numFmtId="0" fontId="23" fillId="0" borderId="1" applyAlignment="1" pivotButton="0" quotePrefix="0" xfId="1">
      <alignment horizontal="center" vertical="center" wrapText="1"/>
    </xf>
    <xf numFmtId="0" fontId="28" fillId="0" borderId="1" applyAlignment="1" pivotButton="0" quotePrefix="0" xfId="1">
      <alignment horizontal="center" vertical="center" wrapText="1"/>
    </xf>
    <xf numFmtId="0" fontId="28" fillId="0" borderId="0" applyAlignment="1" pivotButton="0" quotePrefix="0" xfId="1">
      <alignment horizontal="center" vertical="center" wrapText="1"/>
    </xf>
    <xf numFmtId="43" fontId="6" fillId="0" borderId="0" applyAlignment="1" pivotButton="0" quotePrefix="0" xfId="3">
      <alignment vertical="center"/>
    </xf>
    <xf numFmtId="0" fontId="2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1" fillId="0" borderId="1" applyAlignment="1" pivotButton="0" quotePrefix="0" xfId="0">
      <alignment vertical="center" wrapText="1"/>
    </xf>
    <xf numFmtId="0" fontId="24" fillId="0" borderId="1" applyAlignment="1" pivotButton="0" quotePrefix="0" xfId="0">
      <alignment horizontal="left" vertical="center" wrapText="1" indent="4"/>
    </xf>
    <xf numFmtId="0" fontId="23" fillId="0" borderId="11" pivotButton="0" quotePrefix="0" xfId="0"/>
    <xf numFmtId="0" fontId="23" fillId="0" borderId="12" pivotButton="0" quotePrefix="0" xfId="0"/>
    <xf numFmtId="0" fontId="25" fillId="3" borderId="1" applyAlignment="1" pivotButton="0" quotePrefix="0" xfId="0">
      <alignment horizontal="center" vertical="center"/>
    </xf>
    <xf numFmtId="0" fontId="17" fillId="0" borderId="0" applyAlignment="1" pivotButton="0" quotePrefix="0" xfId="0">
      <alignment vertical="center" wrapText="1"/>
    </xf>
    <xf numFmtId="0" fontId="17" fillId="5" borderId="13" applyAlignment="1" pivotButton="0" quotePrefix="0" xfId="0">
      <alignment horizontal="center" vertical="center" wrapText="1"/>
    </xf>
    <xf numFmtId="0" fontId="18" fillId="0" borderId="13" applyAlignment="1" pivotButton="0" quotePrefix="0" xfId="0">
      <alignment horizontal="left" vertical="top" wrapText="1"/>
    </xf>
    <xf numFmtId="0" fontId="0" fillId="0" borderId="13" pivotButton="0" quotePrefix="0" xfId="0"/>
    <xf numFmtId="0" fontId="19" fillId="0" borderId="0" applyAlignment="1" pivotButton="0" quotePrefix="0" xfId="0">
      <alignment horizontal="left" vertical="top" wrapText="1"/>
    </xf>
    <xf numFmtId="0" fontId="20" fillId="0" borderId="0" applyAlignment="1" pivotButton="0" quotePrefix="0" xfId="0">
      <alignment horizontal="left" vertical="top" wrapText="1"/>
    </xf>
    <xf numFmtId="0" fontId="18" fillId="0" borderId="0" applyAlignment="1" pivotButton="0" quotePrefix="0" xfId="0">
      <alignment horizontal="left" vertical="top" wrapText="1"/>
    </xf>
  </cellXfs>
  <cellStyles count="4">
    <cellStyle name="Normal" xfId="0" builtinId="0"/>
    <cellStyle name="Normal 6" xfId="1"/>
    <cellStyle name="Normal 3 2" xfId="2"/>
    <cellStyle name="Millares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1</row>
      <rowOff>147735</rowOff>
    </from>
    <to>
      <col>23</col>
      <colOff>508000</colOff>
      <row>4</row>
      <rowOff>18144</rowOff>
    </to>
    <pic>
      <nvPicPr>
        <cNvPr id="2" name="Imagen 1"/>
        <cNvPicPr>
          <a:picLocks noChangeAspect="1"/>
        </cNvPicPr>
      </nvPicPr>
      <blipFill>
        <a:blip r:embed="rId1"/>
        <a:stretch>
          <a:fillRect/>
        </a:stretch>
      </blipFill>
      <spPr>
        <a:xfrm>
          <a:off x="3311072" y="466531"/>
          <a:ext cx="2530928" cy="826797"/>
        </a:xfrm>
        <a:prstGeom prst="rect">
          <avLst/>
        </a:prstGeom>
        <a:ln>
          <a:prstDash val="solid"/>
        </a:ln>
      </spPr>
    </pic>
    <clientData/>
  </twoCellAnchor>
  <twoCellAnchor editAs="oneCell">
    <from>
      <col>1</col>
      <colOff>99786</colOff>
      <row>0</row>
      <rowOff>117927</rowOff>
    </from>
    <to>
      <col>12</col>
      <colOff>27213</colOff>
      <row>4</row>
      <rowOff>234424</rowOff>
    </to>
    <pic>
      <nvPicPr>
        <cNvPr id="4" name="Imagen 3"/>
        <cNvPicPr>
          <a:picLocks noChangeAspect="1"/>
        </cNvPicPr>
      </nvPicPr>
      <blipFill>
        <a:blip r:embed="rId2"/>
        <a:stretch>
          <a:fillRect/>
        </a:stretch>
      </blipFill>
      <spPr>
        <a:xfrm>
          <a:off x="326572" y="117927"/>
          <a:ext cx="2422070" cy="138649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129035</colOff>
      <row>1</row>
      <rowOff>247887</rowOff>
    </from>
    <to>
      <col>1</col>
      <colOff>1995502</colOff>
      <row>3</row>
      <rowOff>246530</rowOff>
    </to>
    <pic>
      <nvPicPr>
        <cNvPr id="2" name="Imagen 1"/>
        <cNvPicPr>
          <a:picLocks noChangeAspect="1"/>
        </cNvPicPr>
      </nvPicPr>
      <blipFill>
        <a:blip r:embed="rId1"/>
        <a:stretch>
          <a:fillRect/>
        </a:stretch>
      </blipFill>
      <spPr>
        <a:xfrm>
          <a:off x="2265623" y="613946"/>
          <a:ext cx="1866467" cy="730760"/>
        </a:xfrm>
        <a:prstGeom prst="rect">
          <avLst/>
        </a:prstGeom>
        <a:ln>
          <a:prstDash val="solid"/>
        </a:ln>
      </spPr>
    </pic>
    <clientData/>
  </twoCellAnchor>
  <twoCellAnchor editAs="oneCell">
    <from>
      <col>0</col>
      <colOff>119531</colOff>
      <row>1</row>
      <rowOff>141942</rowOff>
    </from>
    <to>
      <col>0</col>
      <colOff>1972237</colOff>
      <row>3</row>
      <rowOff>343648</rowOff>
    </to>
    <pic>
      <nvPicPr>
        <cNvPr id="3" name="Imagen 2"/>
        <cNvPicPr>
          <a:picLocks noChangeAspect="1"/>
        </cNvPicPr>
      </nvPicPr>
      <blipFill rotWithShape="1">
        <a:blip r:embed="rId2"/>
        <a:srcRect l="4540" t="12476" r="4665" b="12920"/>
        <a:stretch>
          <a:fillRect/>
        </a:stretch>
      </blipFill>
      <spPr>
        <a:xfrm>
          <a:off x="119531" y="508001"/>
          <a:ext cx="1852706" cy="933823"/>
        </a:xfrm>
        <a:prstGeom prst="rect">
          <avLst/>
        </a:prstGeom>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FFFF00"/>
    <outlinePr summaryBelow="1" summaryRight="1"/>
    <pageSetUpPr fitToPage="1"/>
  </sheetPr>
  <dimension ref="A1:CD54"/>
  <sheetViews>
    <sheetView showGridLines="0" tabSelected="1" view="pageBreakPreview" zoomScale="70" zoomScaleNormal="25" zoomScaleSheetLayoutView="70" workbookViewId="0">
      <selection activeCell="BL12" sqref="BL12"/>
    </sheetView>
  </sheetViews>
  <sheetFormatPr baseColWidth="10" defaultColWidth="3.15234375" defaultRowHeight="12" customHeight="1"/>
  <cols>
    <col width="3.15234375" customWidth="1" style="3" min="1" max="22"/>
    <col width="5.23046875" customWidth="1" style="3" min="23" max="23"/>
    <col width="8.84375" customWidth="1" style="3" min="24" max="24"/>
    <col width="3.15234375" customWidth="1" style="3" min="25" max="48"/>
    <col width="3.15234375" customWidth="1" style="6" min="49" max="53"/>
    <col width="3.15234375" customWidth="1" style="3" min="54" max="79"/>
    <col width="54.4609375" customWidth="1" style="3" min="80" max="80"/>
    <col width="28.69140625" customWidth="1" style="3" min="81" max="81"/>
    <col width="3.15234375" customWidth="1" style="3" min="82" max="16384"/>
  </cols>
  <sheetData>
    <row r="1" ht="25" customFormat="1" customHeight="1" s="2">
      <c r="A1" s="44" t="n"/>
      <c r="B1" s="45" t="n"/>
      <c r="C1" s="45" t="n"/>
      <c r="D1" s="45" t="n"/>
      <c r="E1" s="45" t="n"/>
      <c r="F1" s="45" t="n"/>
      <c r="G1" s="45" t="n"/>
      <c r="H1" s="45" t="n"/>
      <c r="I1" s="45" t="n"/>
      <c r="J1" s="45" t="n"/>
      <c r="K1" s="45" t="n"/>
      <c r="L1" s="45" t="n"/>
      <c r="M1" s="46" t="n"/>
      <c r="N1" s="47" t="n"/>
      <c r="O1" s="45" t="n"/>
      <c r="P1" s="48" t="n"/>
      <c r="Q1" s="48" t="n"/>
      <c r="R1" s="48" t="n"/>
      <c r="S1" s="48" t="n"/>
      <c r="T1" s="48" t="n"/>
      <c r="U1" s="48" t="n"/>
      <c r="V1" s="48" t="n"/>
      <c r="W1" s="48" t="n"/>
      <c r="X1" s="48" t="n"/>
      <c r="Y1" s="49" t="n"/>
      <c r="Z1" s="27" t="inlineStr">
        <is>
          <t>DISEÑO DE INGENIERÍA</t>
        </is>
      </c>
      <c r="AA1" s="48" t="n"/>
      <c r="AB1" s="48" t="n"/>
      <c r="AC1" s="48" t="n"/>
      <c r="AD1" s="48" t="n"/>
      <c r="AE1" s="48" t="n"/>
      <c r="AF1" s="48" t="n"/>
      <c r="AG1" s="48" t="n"/>
      <c r="AH1" s="48" t="n"/>
      <c r="AI1" s="48" t="n"/>
      <c r="AJ1" s="48" t="n"/>
      <c r="AK1" s="48" t="n"/>
      <c r="AL1" s="48" t="n"/>
      <c r="AM1" s="48" t="n"/>
      <c r="AN1" s="48" t="n"/>
      <c r="AO1" s="48" t="n"/>
      <c r="AP1" s="48" t="n"/>
      <c r="AQ1" s="48" t="n"/>
      <c r="AR1" s="48" t="n"/>
      <c r="AS1" s="48" t="n"/>
      <c r="AT1" s="48" t="n"/>
      <c r="AU1" s="48" t="n"/>
      <c r="AV1" s="48" t="n"/>
      <c r="AW1" s="48" t="n"/>
      <c r="AX1" s="48" t="n"/>
      <c r="AY1" s="48" t="n"/>
      <c r="AZ1" s="48" t="n"/>
      <c r="BA1" s="48" t="n"/>
      <c r="BB1" s="49" t="n"/>
      <c r="BC1" s="26" t="inlineStr">
        <is>
          <t>CODIGO:</t>
        </is>
      </c>
      <c r="BD1" s="50" t="n"/>
      <c r="BE1" s="50" t="n"/>
      <c r="BF1" s="50" t="n"/>
      <c r="BG1" s="50" t="n"/>
      <c r="BH1" s="50" t="n"/>
      <c r="BI1" s="50" t="n"/>
      <c r="BJ1" s="50" t="n"/>
      <c r="BK1" s="50" t="n"/>
      <c r="BL1" s="50" t="n"/>
      <c r="BM1" s="50" t="n"/>
      <c r="BN1" s="51" t="n"/>
      <c r="BO1" s="25" t="inlineStr">
        <is>
          <t>P2437-HV-DTS-002</t>
        </is>
      </c>
      <c r="BP1" s="52" t="n"/>
      <c r="BQ1" s="52" t="n"/>
      <c r="BR1" s="52" t="n"/>
      <c r="BS1" s="52" t="n"/>
      <c r="BT1" s="52" t="n"/>
      <c r="BU1" s="52" t="n"/>
      <c r="BV1" s="52" t="n"/>
      <c r="BW1" s="52" t="n"/>
      <c r="BX1" s="52" t="n"/>
      <c r="BY1" s="52" t="n"/>
      <c r="BZ1" s="53" t="n"/>
      <c r="CB1" s="15" t="inlineStr">
        <is>
          <t>REVIZADO</t>
        </is>
      </c>
      <c r="CC1" s="16" t="inlineStr">
        <is>
          <t>JULIO 23 DEL 2026</t>
        </is>
      </c>
    </row>
    <row r="2" ht="25" customFormat="1" customHeight="1" s="2">
      <c r="A2" s="54" t="n"/>
      <c r="B2" s="55" t="n"/>
      <c r="C2" s="55" t="n"/>
      <c r="D2" s="55" t="n"/>
      <c r="E2" s="55" t="n"/>
      <c r="F2" s="55" t="n"/>
      <c r="G2" s="55" t="n"/>
      <c r="H2" s="55" t="n"/>
      <c r="I2" s="55" t="n"/>
      <c r="J2" s="55" t="n"/>
      <c r="K2" s="55" t="n"/>
      <c r="L2" s="55" t="n"/>
      <c r="M2" s="56" t="n"/>
      <c r="N2" s="54" t="n"/>
      <c r="O2" s="55" t="n"/>
      <c r="Y2" s="57" t="n"/>
      <c r="Z2" s="58"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60" t="n"/>
      <c r="BC2" s="26" t="inlineStr">
        <is>
          <t>REVISION:</t>
        </is>
      </c>
      <c r="BD2" s="50" t="n"/>
      <c r="BE2" s="50" t="n"/>
      <c r="BF2" s="50" t="n"/>
      <c r="BG2" s="50" t="n"/>
      <c r="BH2" s="50" t="n"/>
      <c r="BI2" s="50" t="n"/>
      <c r="BJ2" s="50" t="n"/>
      <c r="BK2" s="50" t="n"/>
      <c r="BL2" s="50" t="n"/>
      <c r="BM2" s="50" t="n"/>
      <c r="BN2" s="51" t="n"/>
      <c r="BO2" s="25" t="inlineStr">
        <is>
          <t>CERO (0)</t>
        </is>
      </c>
      <c r="BP2" s="52" t="n"/>
      <c r="BQ2" s="52" t="n"/>
      <c r="BR2" s="52" t="n"/>
      <c r="BS2" s="52" t="n"/>
      <c r="BT2" s="52" t="n"/>
      <c r="BU2" s="52" t="n"/>
      <c r="BV2" s="52" t="n"/>
      <c r="BW2" s="52" t="n"/>
      <c r="BX2" s="52" t="n"/>
      <c r="BY2" s="52" t="n"/>
      <c r="BZ2" s="53" t="n"/>
      <c r="CB2" s="15" t="inlineStr">
        <is>
          <t>APROBADO</t>
        </is>
      </c>
      <c r="CC2" s="16" t="inlineStr">
        <is>
          <t>JULIO 24 DEL 2026</t>
        </is>
      </c>
    </row>
    <row r="3" ht="25" customFormat="1" customHeight="1" s="2">
      <c r="A3" s="54" t="n"/>
      <c r="B3" s="55" t="n"/>
      <c r="C3" s="55" t="n"/>
      <c r="D3" s="55" t="n"/>
      <c r="E3" s="55" t="n"/>
      <c r="F3" s="55" t="n"/>
      <c r="G3" s="55" t="n"/>
      <c r="H3" s="55" t="n"/>
      <c r="I3" s="55" t="n"/>
      <c r="J3" s="55" t="n"/>
      <c r="K3" s="55" t="n"/>
      <c r="L3" s="55" t="n"/>
      <c r="M3" s="56" t="n"/>
      <c r="N3" s="54" t="n"/>
      <c r="O3" s="55" t="n"/>
      <c r="Y3" s="57" t="n"/>
      <c r="Z3" s="27" t="inlineStr">
        <is>
          <t>SISTEMA HVAC LABORATORIO BRINSA</t>
        </is>
      </c>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9" t="n"/>
      <c r="BC3" s="26" t="inlineStr">
        <is>
          <t>FECHA:</t>
        </is>
      </c>
      <c r="BD3" s="50" t="n"/>
      <c r="BE3" s="50" t="n"/>
      <c r="BF3" s="50" t="n"/>
      <c r="BG3" s="50" t="n"/>
      <c r="BH3" s="50" t="n"/>
      <c r="BI3" s="50" t="n"/>
      <c r="BJ3" s="50" t="n"/>
      <c r="BK3" s="50" t="n"/>
      <c r="BL3" s="50" t="n"/>
      <c r="BM3" s="50" t="n"/>
      <c r="BN3" s="51" t="n"/>
      <c r="BO3" s="25" t="inlineStr">
        <is>
          <t>JULIO 23 DEL 2026</t>
        </is>
      </c>
      <c r="BP3" s="52" t="n"/>
      <c r="BQ3" s="52" t="n"/>
      <c r="BR3" s="52" t="n"/>
      <c r="BS3" s="52" t="n"/>
      <c r="BT3" s="52" t="n"/>
      <c r="BU3" s="52" t="n"/>
      <c r="BV3" s="52" t="n"/>
      <c r="BW3" s="52" t="n"/>
      <c r="BX3" s="52" t="n"/>
      <c r="BY3" s="52" t="n"/>
      <c r="BZ3" s="53" t="n"/>
    </row>
    <row r="4" ht="25" customFormat="1" customHeight="1" s="2">
      <c r="A4" s="54" t="n"/>
      <c r="B4" s="55" t="n"/>
      <c r="C4" s="55" t="n"/>
      <c r="D4" s="55" t="n"/>
      <c r="E4" s="55" t="n"/>
      <c r="F4" s="55" t="n"/>
      <c r="G4" s="55" t="n"/>
      <c r="H4" s="55" t="n"/>
      <c r="I4" s="55" t="n"/>
      <c r="J4" s="55" t="n"/>
      <c r="K4" s="55" t="n"/>
      <c r="L4" s="55" t="n"/>
      <c r="M4" s="56" t="n"/>
      <c r="N4" s="54" t="n"/>
      <c r="O4" s="55" t="n"/>
      <c r="Y4" s="57" t="n"/>
      <c r="Z4" s="58"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60" t="n"/>
      <c r="BC4" s="26" t="inlineStr">
        <is>
          <t>ELABORO:</t>
        </is>
      </c>
      <c r="BD4" s="50" t="n"/>
      <c r="BE4" s="50" t="n"/>
      <c r="BF4" s="50" t="n"/>
      <c r="BG4" s="50" t="n"/>
      <c r="BH4" s="50" t="n"/>
      <c r="BI4" s="50" t="n"/>
      <c r="BJ4" s="50" t="n"/>
      <c r="BK4" s="50" t="n"/>
      <c r="BL4" s="50" t="n"/>
      <c r="BM4" s="50" t="n"/>
      <c r="BN4" s="51" t="n"/>
      <c r="BO4" s="25" t="inlineStr">
        <is>
          <t>J.ARBOLEDA</t>
        </is>
      </c>
      <c r="BP4" s="52" t="n"/>
      <c r="BQ4" s="52" t="n"/>
      <c r="BR4" s="52" t="n"/>
      <c r="BS4" s="52" t="n"/>
      <c r="BT4" s="52" t="n"/>
      <c r="BU4" s="52" t="n"/>
      <c r="BV4" s="52" t="n"/>
      <c r="BW4" s="52" t="n"/>
      <c r="BX4" s="52" t="n"/>
      <c r="BY4" s="52" t="n"/>
      <c r="BZ4" s="53" t="n"/>
    </row>
    <row r="5" ht="25" customFormat="1" customHeight="1" s="2">
      <c r="A5" s="61" t="n"/>
      <c r="B5" s="62" t="n"/>
      <c r="C5" s="62" t="n"/>
      <c r="D5" s="62" t="n"/>
      <c r="E5" s="62" t="n"/>
      <c r="F5" s="62" t="n"/>
      <c r="G5" s="62" t="n"/>
      <c r="H5" s="62" t="n"/>
      <c r="I5" s="62" t="n"/>
      <c r="J5" s="62" t="n"/>
      <c r="K5" s="62" t="n"/>
      <c r="L5" s="62" t="n"/>
      <c r="M5" s="63" t="n"/>
      <c r="N5" s="61" t="n"/>
      <c r="O5" s="62" t="n"/>
      <c r="P5" s="59" t="n"/>
      <c r="Q5" s="59" t="n"/>
      <c r="R5" s="59" t="n"/>
      <c r="S5" s="59" t="n"/>
      <c r="T5" s="59" t="n"/>
      <c r="U5" s="59" t="n"/>
      <c r="V5" s="59" t="n"/>
      <c r="W5" s="59" t="n"/>
      <c r="X5" s="59" t="n"/>
      <c r="Y5" s="60" t="n"/>
      <c r="Z5" s="31" t="inlineStr">
        <is>
          <t>HOJA DE DATOS Y ESPECIFICACIONES TÉCNICAS DEL SISTEMA DE FILTRACIÓN MERV 13-14</t>
        </is>
      </c>
      <c r="AA5" s="48" t="n"/>
      <c r="AB5" s="48" t="n"/>
      <c r="AC5" s="48" t="n"/>
      <c r="AD5" s="48" t="n"/>
      <c r="AE5" s="48" t="n"/>
      <c r="AF5" s="48" t="n"/>
      <c r="AG5" s="48" t="n"/>
      <c r="AH5" s="48" t="n"/>
      <c r="AI5" s="48" t="n"/>
      <c r="AJ5" s="48" t="n"/>
      <c r="AK5" s="48" t="n"/>
      <c r="AL5" s="48" t="n"/>
      <c r="AM5" s="48" t="n"/>
      <c r="AN5" s="48" t="n"/>
      <c r="AO5" s="48" t="n"/>
      <c r="AP5" s="48" t="n"/>
      <c r="AQ5" s="48" t="n"/>
      <c r="AR5" s="48" t="n"/>
      <c r="AS5" s="48" t="n"/>
      <c r="AT5" s="48" t="n"/>
      <c r="AU5" s="48" t="n"/>
      <c r="AV5" s="48" t="n"/>
      <c r="AW5" s="48" t="n"/>
      <c r="AX5" s="48" t="n"/>
      <c r="AY5" s="48" t="n"/>
      <c r="AZ5" s="48" t="n"/>
      <c r="BA5" s="48" t="n"/>
      <c r="BB5" s="49" t="n"/>
      <c r="BC5" s="26" t="inlineStr">
        <is>
          <t>REVISO:</t>
        </is>
      </c>
      <c r="BD5" s="50" t="n"/>
      <c r="BE5" s="50" t="n"/>
      <c r="BF5" s="50" t="n"/>
      <c r="BG5" s="50" t="n"/>
      <c r="BH5" s="50" t="n"/>
      <c r="BI5" s="50" t="n"/>
      <c r="BJ5" s="50" t="n"/>
      <c r="BK5" s="50" t="n"/>
      <c r="BL5" s="50" t="n"/>
      <c r="BM5" s="50" t="n"/>
      <c r="BN5" s="51" t="n"/>
      <c r="BO5" s="25" t="inlineStr">
        <is>
          <t>F.NAVIA</t>
        </is>
      </c>
      <c r="BP5" s="52" t="n"/>
      <c r="BQ5" s="52" t="n"/>
      <c r="BR5" s="52" t="n"/>
      <c r="BS5" s="52" t="n"/>
      <c r="BT5" s="52" t="n"/>
      <c r="BU5" s="52" t="n"/>
      <c r="BV5" s="52" t="n"/>
      <c r="BW5" s="52" t="n"/>
      <c r="BX5" s="52" t="n"/>
      <c r="BY5" s="52" t="n"/>
      <c r="BZ5" s="53" t="n"/>
    </row>
    <row r="6" ht="25" customFormat="1" customHeight="1" s="2">
      <c r="A6" s="64" t="inlineStr">
        <is>
          <t>PROYECTO</t>
        </is>
      </c>
      <c r="B6" s="65" t="n"/>
      <c r="C6" s="65" t="n"/>
      <c r="D6" s="65" t="n"/>
      <c r="E6" s="65" t="n"/>
      <c r="F6" s="65" t="n"/>
      <c r="G6" s="65" t="n"/>
      <c r="H6" s="65" t="n"/>
      <c r="I6" s="65" t="n"/>
      <c r="J6" s="65" t="n"/>
      <c r="K6" s="65" t="n"/>
      <c r="L6" s="65" t="n"/>
      <c r="M6" s="66" t="n"/>
      <c r="N6" s="64" t="inlineStr">
        <is>
          <t>P2437</t>
        </is>
      </c>
      <c r="O6" s="65" t="n"/>
      <c r="P6" s="50" t="n"/>
      <c r="Q6" s="50" t="n"/>
      <c r="R6" s="50" t="n"/>
      <c r="S6" s="50" t="n"/>
      <c r="T6" s="50" t="n"/>
      <c r="U6" s="50" t="n"/>
      <c r="V6" s="50" t="n"/>
      <c r="W6" s="50" t="n"/>
      <c r="X6" s="50" t="n"/>
      <c r="Y6" s="51" t="n"/>
      <c r="Z6" s="58"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60" t="n"/>
      <c r="BC6" s="26" t="inlineStr">
        <is>
          <t>APROBO:</t>
        </is>
      </c>
      <c r="BD6" s="50" t="n"/>
      <c r="BE6" s="50" t="n"/>
      <c r="BF6" s="50" t="n"/>
      <c r="BG6" s="50" t="n"/>
      <c r="BH6" s="50" t="n"/>
      <c r="BI6" s="50" t="n"/>
      <c r="BJ6" s="50" t="n"/>
      <c r="BK6" s="50" t="n"/>
      <c r="BL6" s="50" t="n"/>
      <c r="BM6" s="50" t="n"/>
      <c r="BN6" s="51" t="n"/>
      <c r="BO6" s="25" t="inlineStr">
        <is>
          <t>H.ROSERO</t>
        </is>
      </c>
      <c r="BP6" s="52" t="n"/>
      <c r="BQ6" s="52" t="n"/>
      <c r="BR6" s="52" t="n"/>
      <c r="BS6" s="52" t="n"/>
      <c r="BT6" s="52" t="n"/>
      <c r="BU6" s="52" t="n"/>
      <c r="BV6" s="52" t="n"/>
      <c r="BW6" s="52" t="n"/>
      <c r="BX6" s="52" t="n"/>
      <c r="BY6" s="52" t="n"/>
      <c r="BZ6" s="53" t="n"/>
    </row>
    <row r="7" ht="15" customHeight="1">
      <c r="A7" s="55" t="n"/>
      <c r="B7" s="55" t="n"/>
      <c r="C7" s="55" t="n"/>
      <c r="D7" s="55" t="n"/>
      <c r="E7" s="55" t="n"/>
      <c r="F7" s="55" t="n"/>
      <c r="G7" s="67" t="n"/>
      <c r="H7" s="67" t="n"/>
      <c r="I7" s="67" t="n"/>
      <c r="J7" s="67" t="n"/>
      <c r="K7" s="67" t="n"/>
      <c r="L7" s="67" t="n"/>
      <c r="M7" s="67" t="n"/>
      <c r="N7" s="67" t="n"/>
      <c r="O7" s="67" t="n"/>
      <c r="P7" s="21" t="n"/>
      <c r="Q7" s="21" t="n"/>
      <c r="R7" s="21" t="n"/>
      <c r="S7" s="21" t="n"/>
      <c r="T7" s="21" t="n"/>
      <c r="U7" s="21" t="n"/>
      <c r="V7" s="21" t="n"/>
      <c r="W7" s="21" t="n"/>
      <c r="X7" s="21" t="n"/>
      <c r="Y7" s="21" t="n"/>
      <c r="Z7" s="21" t="n"/>
      <c r="AA7" s="21" t="n"/>
      <c r="AB7" s="21" t="n"/>
      <c r="AC7" s="5" t="n"/>
      <c r="AD7" s="21" t="n"/>
      <c r="AE7" s="21" t="n"/>
      <c r="AF7" s="21" t="n"/>
      <c r="CD7" s="7" t="n"/>
    </row>
    <row r="8" ht="15" customHeight="1">
      <c r="A8" s="55" t="n"/>
      <c r="B8" s="55" t="n"/>
      <c r="C8" s="55" t="n"/>
      <c r="D8" s="55" t="n"/>
      <c r="E8" s="55" t="n"/>
      <c r="F8" s="55" t="n"/>
      <c r="G8" s="67" t="n"/>
      <c r="H8" s="67" t="n"/>
      <c r="I8" s="67" t="n"/>
      <c r="J8" s="67" t="n"/>
      <c r="K8" s="67" t="n"/>
      <c r="L8" s="67" t="n"/>
      <c r="M8" s="67" t="n"/>
      <c r="N8" s="67" t="n"/>
      <c r="O8" s="67" t="n"/>
      <c r="P8" s="21" t="n"/>
      <c r="Q8" s="21" t="n"/>
      <c r="R8" s="21" t="n"/>
      <c r="S8" s="21" t="n"/>
      <c r="T8" s="21" t="n"/>
      <c r="U8" s="21" t="n"/>
      <c r="V8" s="21" t="n"/>
      <c r="W8" s="21" t="n"/>
      <c r="X8" s="21" t="n"/>
      <c r="Y8" s="21" t="n"/>
      <c r="Z8" s="21" t="n"/>
      <c r="AA8" s="21" t="n"/>
      <c r="AB8" s="21" t="n"/>
      <c r="AC8" s="5" t="n"/>
      <c r="AD8" s="21" t="n"/>
      <c r="AE8" s="21" t="n"/>
      <c r="AF8" s="21" t="n"/>
      <c r="CD8" s="7" t="n"/>
    </row>
    <row r="9" ht="15" customHeight="1">
      <c r="A9" s="55" t="n"/>
      <c r="B9" s="55" t="n"/>
      <c r="C9" s="55" t="n"/>
      <c r="D9" s="55" t="n"/>
      <c r="E9" s="55" t="n"/>
      <c r="F9" s="55" t="n"/>
      <c r="G9" s="67" t="n"/>
      <c r="H9" s="67" t="n"/>
      <c r="I9" s="67" t="n"/>
      <c r="J9" s="67" t="n"/>
      <c r="K9" s="67" t="n"/>
      <c r="L9" s="67" t="n"/>
      <c r="M9" s="67" t="n"/>
      <c r="N9" s="67" t="n"/>
      <c r="O9" s="67" t="n"/>
      <c r="P9" s="21" t="n"/>
      <c r="Q9" s="21" t="n"/>
      <c r="R9" s="21" t="n"/>
      <c r="S9" s="21" t="n"/>
      <c r="T9" s="21" t="n"/>
      <c r="U9" s="21" t="n"/>
      <c r="V9" s="21" t="n"/>
      <c r="W9" s="21" t="n"/>
      <c r="X9" s="21" t="n"/>
      <c r="Y9" s="21" t="n"/>
      <c r="Z9" s="21" t="n"/>
      <c r="AA9" s="21" t="n"/>
      <c r="AB9" s="21" t="n"/>
      <c r="AC9" s="5" t="n"/>
      <c r="AD9" s="21" t="n"/>
      <c r="AE9" s="21" t="n"/>
      <c r="AF9" s="21" t="n"/>
      <c r="CD9" s="7" t="n"/>
    </row>
    <row r="10" ht="15" customHeight="1">
      <c r="A10" s="55" t="n"/>
      <c r="B10" s="55" t="n"/>
      <c r="C10" s="55" t="n"/>
      <c r="D10" s="55" t="n"/>
      <c r="E10" s="55" t="n"/>
      <c r="F10" s="55" t="n"/>
      <c r="G10" s="67" t="n"/>
      <c r="H10" s="67" t="n"/>
      <c r="I10" s="67" t="n"/>
      <c r="J10" s="67" t="n"/>
      <c r="K10" s="67" t="n"/>
      <c r="L10" s="67" t="n"/>
      <c r="M10" s="67" t="n"/>
      <c r="N10" s="67" t="n"/>
      <c r="O10" s="67" t="n"/>
      <c r="P10" s="21" t="n"/>
      <c r="Q10" s="21" t="n"/>
      <c r="R10" s="21" t="n"/>
      <c r="S10" s="21" t="n"/>
      <c r="T10" s="21" t="n"/>
      <c r="U10" s="21" t="n"/>
      <c r="V10" s="21" t="n"/>
      <c r="W10" s="21" t="n"/>
      <c r="X10" s="21" t="n"/>
      <c r="Y10" s="21" t="n"/>
      <c r="Z10" s="21" t="n"/>
      <c r="AA10" s="21" t="n"/>
      <c r="AB10" s="21" t="n"/>
      <c r="AC10" s="5" t="n"/>
      <c r="AD10" s="21" t="n"/>
      <c r="AE10" s="21" t="n"/>
      <c r="AF10" s="21" t="n"/>
      <c r="CD10" s="7" t="n"/>
    </row>
    <row r="11" ht="15" customHeight="1">
      <c r="A11" s="55" t="n"/>
      <c r="B11" s="55" t="n"/>
      <c r="C11" s="55" t="n"/>
      <c r="D11" s="55" t="n"/>
      <c r="E11" s="55" t="n"/>
      <c r="F11" s="55" t="n"/>
      <c r="G11" s="67" t="n"/>
      <c r="H11" s="67" t="n"/>
      <c r="I11" s="67" t="n"/>
      <c r="J11" s="67" t="n"/>
      <c r="K11" s="67" t="n"/>
      <c r="L11" s="67" t="n"/>
      <c r="M11" s="67" t="n"/>
      <c r="N11" s="67" t="n"/>
      <c r="O11" s="67" t="n"/>
      <c r="P11" s="21" t="n"/>
      <c r="Q11" s="21" t="n"/>
      <c r="R11" s="21" t="n"/>
      <c r="S11" s="21" t="n"/>
      <c r="T11" s="21" t="n"/>
      <c r="U11" s="21" t="n"/>
      <c r="V11" s="21" t="n"/>
      <c r="W11" s="21" t="n"/>
      <c r="X11" s="21" t="n"/>
      <c r="Y11" s="21" t="n"/>
      <c r="Z11" s="21" t="n"/>
      <c r="AA11" s="21" t="n"/>
      <c r="AB11" s="21" t="n"/>
      <c r="AC11" s="5" t="n"/>
      <c r="AD11" s="21" t="n"/>
      <c r="AE11" s="21" t="n"/>
      <c r="AF11" s="21" t="n"/>
      <c r="CD11" s="7" t="n"/>
    </row>
    <row r="12" ht="15" customHeight="1">
      <c r="A12" s="55" t="n"/>
      <c r="B12" s="55" t="n"/>
      <c r="C12" s="55" t="n"/>
      <c r="D12" s="55" t="n"/>
      <c r="E12" s="55" t="n"/>
      <c r="F12" s="55" t="n"/>
      <c r="G12" s="67" t="n"/>
      <c r="H12" s="67" t="n"/>
      <c r="I12" s="67" t="n"/>
      <c r="J12" s="67" t="n"/>
      <c r="K12" s="67" t="n"/>
      <c r="L12" s="67" t="n"/>
      <c r="M12" s="67" t="n"/>
      <c r="N12" s="67" t="n"/>
      <c r="O12" s="67" t="n"/>
      <c r="P12" s="21" t="n"/>
      <c r="Q12" s="21" t="n"/>
      <c r="R12" s="21" t="n"/>
      <c r="S12" s="21" t="n"/>
      <c r="T12" s="21" t="n"/>
      <c r="U12" s="21" t="n"/>
      <c r="V12" s="21" t="n"/>
      <c r="W12" s="21" t="n"/>
      <c r="X12" s="21" t="n"/>
      <c r="Y12" s="21" t="n"/>
      <c r="Z12" s="21" t="n"/>
      <c r="AA12" s="21" t="n"/>
      <c r="AB12" s="21" t="n"/>
      <c r="AC12" s="5" t="n"/>
      <c r="AD12" s="21" t="n"/>
      <c r="AE12" s="21" t="n"/>
      <c r="AF12" s="21" t="n"/>
      <c r="CD12" s="7" t="n"/>
    </row>
    <row r="13" ht="15" customHeight="1">
      <c r="A13" s="55" t="n"/>
      <c r="B13" s="55" t="n"/>
      <c r="C13" s="55" t="n"/>
      <c r="D13" s="55" t="n"/>
      <c r="E13" s="55" t="n"/>
      <c r="F13" s="55" t="n"/>
      <c r="G13" s="67" t="n"/>
      <c r="H13" s="67" t="n"/>
      <c r="I13" s="67" t="n"/>
      <c r="J13" s="67" t="n"/>
      <c r="K13" s="67" t="n"/>
      <c r="L13" s="67" t="n"/>
      <c r="M13" s="67" t="n"/>
      <c r="N13" s="67" t="n"/>
      <c r="O13" s="67" t="n"/>
      <c r="P13" s="21" t="n"/>
      <c r="Q13" s="21" t="n"/>
      <c r="R13" s="21" t="n"/>
      <c r="S13" s="21" t="n"/>
      <c r="T13" s="21" t="n"/>
      <c r="U13" s="21" t="n"/>
      <c r="V13" s="21" t="n"/>
      <c r="W13" s="21" t="n"/>
      <c r="X13" s="21" t="n"/>
      <c r="Y13" s="21" t="n"/>
      <c r="Z13" s="21" t="n"/>
      <c r="AA13" s="21" t="n"/>
      <c r="AB13" s="21" t="n"/>
      <c r="AC13" s="5" t="n"/>
      <c r="AD13" s="21" t="n"/>
      <c r="AE13" s="21" t="n"/>
      <c r="AF13" s="21" t="n"/>
      <c r="CD13" s="7" t="n"/>
    </row>
    <row r="14" ht="15" customHeight="1">
      <c r="A14" s="55" t="n"/>
      <c r="B14" s="55" t="n"/>
      <c r="C14" s="55" t="n"/>
      <c r="D14" s="55" t="n"/>
      <c r="E14" s="55" t="n"/>
      <c r="F14" s="55" t="n"/>
      <c r="G14" s="67" t="n"/>
      <c r="H14" s="67" t="n"/>
      <c r="I14" s="67" t="n"/>
      <c r="J14" s="67" t="n"/>
      <c r="K14" s="67" t="n"/>
      <c r="L14" s="67" t="n"/>
      <c r="M14" s="67" t="n"/>
      <c r="N14" s="67" t="n"/>
      <c r="O14" s="67" t="n"/>
      <c r="P14" s="21" t="n"/>
      <c r="Q14" s="21" t="n"/>
      <c r="R14" s="21" t="n"/>
      <c r="S14" s="21" t="n"/>
      <c r="T14" s="21" t="n"/>
      <c r="U14" s="21" t="n"/>
      <c r="V14" s="21" t="n"/>
      <c r="W14" s="21" t="n"/>
      <c r="X14" s="21" t="n"/>
      <c r="Y14" s="21" t="n"/>
      <c r="Z14" s="21" t="n"/>
      <c r="AA14" s="21" t="n"/>
      <c r="AB14" s="21" t="n"/>
      <c r="AC14" s="5" t="n"/>
      <c r="AD14" s="21" t="n"/>
      <c r="AE14" s="21" t="n"/>
      <c r="AF14" s="21" t="n"/>
      <c r="CD14" s="7" t="n"/>
    </row>
    <row r="15" ht="15" customHeight="1">
      <c r="A15" s="55" t="n"/>
      <c r="B15" s="55" t="n"/>
      <c r="C15" s="55" t="n"/>
      <c r="D15" s="55" t="n"/>
      <c r="E15" s="55" t="n"/>
      <c r="F15" s="55" t="n"/>
      <c r="G15" s="67" t="n"/>
      <c r="H15" s="67" t="n"/>
      <c r="I15" s="67" t="n"/>
      <c r="J15" s="67" t="n"/>
      <c r="K15" s="67" t="n"/>
      <c r="L15" s="67" t="n"/>
      <c r="M15" s="67" t="n"/>
      <c r="N15" s="67" t="n"/>
      <c r="O15" s="67" t="n"/>
      <c r="P15" s="21" t="n"/>
      <c r="Q15" s="21" t="n"/>
      <c r="R15" s="21" t="n"/>
      <c r="S15" s="21" t="n"/>
      <c r="T15" s="21" t="n"/>
      <c r="U15" s="21" t="n"/>
      <c r="V15" s="21" t="n"/>
      <c r="W15" s="21" t="n"/>
      <c r="X15" s="21" t="n"/>
      <c r="Y15" s="21" t="n"/>
      <c r="Z15" s="21" t="n"/>
      <c r="AA15" s="21" t="n"/>
      <c r="AB15" s="21" t="n"/>
      <c r="AC15" s="5" t="n"/>
      <c r="AD15" s="21" t="n"/>
      <c r="AE15" s="21" t="n"/>
      <c r="AF15" s="21" t="n"/>
      <c r="CD15" s="7" t="n"/>
    </row>
    <row r="16" ht="15" customHeight="1">
      <c r="A16" s="55" t="n"/>
      <c r="B16" s="55" t="n"/>
      <c r="C16" s="55" t="n"/>
      <c r="D16" s="55" t="n"/>
      <c r="E16" s="55" t="n"/>
      <c r="F16" s="55" t="n"/>
      <c r="G16" s="67" t="n"/>
      <c r="H16" s="67" t="n"/>
      <c r="I16" s="67" t="n"/>
      <c r="J16" s="67" t="n"/>
      <c r="K16" s="67" t="n"/>
      <c r="L16" s="67" t="n"/>
      <c r="M16" s="67" t="n"/>
      <c r="N16" s="67" t="n"/>
      <c r="O16" s="67" t="n"/>
      <c r="P16" s="21" t="n"/>
      <c r="Q16" s="21" t="n"/>
      <c r="R16" s="21" t="n"/>
      <c r="S16" s="21" t="n"/>
      <c r="T16" s="21" t="n"/>
      <c r="U16" s="21" t="n"/>
      <c r="V16" s="21" t="n"/>
      <c r="W16" s="21" t="n"/>
      <c r="X16" s="21" t="n"/>
      <c r="Y16" s="21" t="n"/>
      <c r="Z16" s="21" t="n"/>
      <c r="AA16" s="21" t="n"/>
      <c r="AB16" s="21" t="n"/>
      <c r="AC16" s="5" t="n"/>
      <c r="AD16" s="21" t="n"/>
      <c r="AE16" s="21" t="n"/>
      <c r="AF16" s="21" t="n"/>
      <c r="CD16" s="7" t="n"/>
    </row>
    <row r="17" ht="15" customHeight="1">
      <c r="A17" s="55" t="n"/>
      <c r="B17" s="55" t="n"/>
      <c r="C17" s="55" t="n"/>
      <c r="D17" s="55" t="n"/>
      <c r="E17" s="55" t="n"/>
      <c r="F17" s="55" t="n"/>
      <c r="G17" s="67" t="n"/>
      <c r="H17" s="67" t="n"/>
      <c r="I17" s="67" t="n"/>
      <c r="J17" s="67" t="n"/>
      <c r="K17" s="67" t="n"/>
      <c r="L17" s="67" t="n"/>
      <c r="M17" s="67" t="n"/>
      <c r="N17" s="67" t="n"/>
      <c r="O17" s="67" t="n"/>
      <c r="P17" s="21" t="n"/>
      <c r="Q17" s="21" t="n"/>
      <c r="R17" s="21" t="n"/>
      <c r="S17" s="21" t="n"/>
      <c r="T17" s="21" t="n"/>
      <c r="U17" s="21" t="n"/>
      <c r="V17" s="21" t="n"/>
      <c r="W17" s="21" t="n"/>
      <c r="X17" s="21" t="n"/>
      <c r="Y17" s="21" t="n"/>
      <c r="Z17" s="21" t="n"/>
      <c r="AA17" s="21" t="n"/>
      <c r="AB17" s="21" t="n"/>
      <c r="AC17" s="5" t="n"/>
      <c r="AD17" s="21" t="n"/>
      <c r="AE17" s="21" t="n"/>
      <c r="AF17" s="21" t="n"/>
      <c r="CD17" s="7" t="n"/>
    </row>
    <row r="18" ht="15" customHeight="1">
      <c r="A18" s="55" t="n"/>
      <c r="B18" s="55" t="n"/>
      <c r="C18" s="55" t="n"/>
      <c r="D18" s="55" t="n"/>
      <c r="E18" s="55" t="n"/>
      <c r="F18" s="55" t="n"/>
      <c r="G18" s="67" t="n"/>
      <c r="H18" s="67" t="n"/>
      <c r="I18" s="67" t="n"/>
      <c r="J18" s="67" t="n"/>
      <c r="K18" s="67" t="n"/>
      <c r="L18" s="67" t="n"/>
      <c r="M18" s="67" t="n"/>
      <c r="N18" s="67" t="n"/>
      <c r="O18" s="67" t="n"/>
      <c r="P18" s="21" t="n"/>
      <c r="Q18" s="21" t="n"/>
      <c r="R18" s="21" t="n"/>
      <c r="S18" s="21" t="n"/>
      <c r="T18" s="21" t="n"/>
      <c r="U18" s="21" t="n"/>
      <c r="V18" s="21" t="n"/>
      <c r="W18" s="21" t="n"/>
      <c r="X18" s="21" t="n"/>
      <c r="Y18" s="21" t="n"/>
      <c r="Z18" s="21" t="n"/>
      <c r="AA18" s="21" t="n"/>
      <c r="AB18" s="21" t="n"/>
      <c r="AC18" s="5" t="n"/>
      <c r="AD18" s="21" t="n"/>
      <c r="AE18" s="21" t="n"/>
      <c r="AF18" s="21" t="n"/>
      <c r="CD18" s="7" t="n"/>
    </row>
    <row r="19" ht="15" customHeight="1">
      <c r="A19" s="55" t="n"/>
      <c r="B19" s="55" t="n"/>
      <c r="C19" s="55" t="n"/>
      <c r="D19" s="55" t="n"/>
      <c r="E19" s="55" t="n"/>
      <c r="F19" s="55" t="n"/>
      <c r="G19" s="67" t="n"/>
      <c r="H19" s="67" t="n"/>
      <c r="I19" s="67" t="n"/>
      <c r="J19" s="67" t="n"/>
      <c r="K19" s="67" t="n"/>
      <c r="L19" s="67" t="n"/>
      <c r="M19" s="67" t="n"/>
      <c r="N19" s="67" t="n"/>
      <c r="O19" s="67" t="n"/>
      <c r="P19" s="21" t="n"/>
      <c r="Q19" s="21" t="n"/>
      <c r="R19" s="21" t="n"/>
      <c r="S19" s="21" t="n"/>
      <c r="T19" s="21" t="n"/>
      <c r="U19" s="21" t="n"/>
      <c r="V19" s="21" t="n"/>
      <c r="W19" s="21" t="n"/>
      <c r="X19" s="21" t="n"/>
      <c r="Y19" s="21" t="n"/>
      <c r="Z19" s="21" t="n"/>
      <c r="AA19" s="21" t="n"/>
      <c r="AB19" s="21" t="n"/>
      <c r="AC19" s="5" t="n"/>
      <c r="AD19" s="21" t="n"/>
      <c r="AE19" s="21" t="n"/>
      <c r="AF19" s="21" t="n"/>
      <c r="CD19" s="7" t="n"/>
    </row>
    <row r="20" ht="15" customHeight="1">
      <c r="A20" s="55" t="n"/>
      <c r="B20" s="55" t="n"/>
      <c r="C20" s="55" t="n"/>
      <c r="D20" s="55" t="n"/>
      <c r="E20" s="55" t="n"/>
      <c r="F20" s="55" t="n"/>
      <c r="G20" s="67" t="n"/>
      <c r="H20" s="67" t="n"/>
      <c r="I20" s="67" t="n"/>
      <c r="J20" s="67" t="n"/>
      <c r="K20" s="67" t="n"/>
      <c r="L20" s="67" t="n"/>
      <c r="M20" s="67" t="n"/>
      <c r="N20" s="67" t="n"/>
      <c r="O20" s="67" t="n"/>
      <c r="P20" s="21" t="n"/>
      <c r="Q20" s="21" t="n"/>
      <c r="R20" s="21" t="n"/>
      <c r="S20" s="21" t="n"/>
      <c r="T20" s="21" t="n"/>
      <c r="U20" s="21" t="n"/>
      <c r="V20" s="21" t="n"/>
      <c r="W20" s="21" t="n"/>
      <c r="X20" s="21" t="n"/>
      <c r="Y20" s="21" t="n"/>
      <c r="Z20" s="21" t="n"/>
      <c r="AA20" s="21" t="n"/>
      <c r="AB20" s="21" t="n"/>
      <c r="AC20" s="5" t="n"/>
      <c r="AD20" s="21" t="n"/>
      <c r="AE20" s="21" t="n"/>
      <c r="AF20" s="21" t="n"/>
      <c r="CD20" s="7" t="n"/>
    </row>
    <row r="21" ht="15" customHeight="1">
      <c r="A21" s="55" t="n"/>
      <c r="B21" s="55" t="n"/>
      <c r="C21" s="55" t="n"/>
      <c r="D21" s="55" t="n"/>
      <c r="E21" s="55" t="n"/>
      <c r="F21" s="55" t="n"/>
      <c r="G21" s="67" t="n"/>
      <c r="H21" s="67" t="n"/>
      <c r="I21" s="67" t="n"/>
      <c r="J21" s="67" t="n"/>
      <c r="K21" s="67" t="n"/>
      <c r="L21" s="67" t="n"/>
      <c r="M21" s="67" t="n"/>
      <c r="N21" s="67" t="n"/>
      <c r="O21" s="67" t="n"/>
      <c r="P21" s="21" t="n"/>
      <c r="Q21" s="21" t="n"/>
      <c r="R21" s="41" t="inlineStr">
        <is>
          <t>Elaborado por:</t>
        </is>
      </c>
      <c r="S21" s="48" t="n"/>
      <c r="T21" s="48" t="n"/>
      <c r="U21" s="48" t="n"/>
      <c r="V21" s="48" t="n"/>
      <c r="W21" s="48" t="n"/>
      <c r="X21" s="48" t="n"/>
      <c r="Y21" s="48" t="n"/>
      <c r="Z21" s="48" t="n"/>
      <c r="AA21" s="48" t="n"/>
      <c r="AB21" s="48" t="n"/>
      <c r="AC21" s="48" t="n"/>
      <c r="AD21" s="48" t="n"/>
      <c r="AE21" s="49" t="n"/>
      <c r="AF21" s="41" t="inlineStr">
        <is>
          <t>Revisado por:</t>
        </is>
      </c>
      <c r="AG21" s="48" t="n"/>
      <c r="AH21" s="48" t="n"/>
      <c r="AI21" s="48" t="n"/>
      <c r="AJ21" s="48" t="n"/>
      <c r="AK21" s="48" t="n"/>
      <c r="AL21" s="48" t="n"/>
      <c r="AM21" s="48" t="n"/>
      <c r="AN21" s="48" t="n"/>
      <c r="AO21" s="48" t="n"/>
      <c r="AP21" s="48" t="n"/>
      <c r="AQ21" s="48" t="n"/>
      <c r="AR21" s="48" t="n"/>
      <c r="AS21" s="49" t="n"/>
      <c r="AT21" s="41" t="inlineStr">
        <is>
          <t>Aprobado por:</t>
        </is>
      </c>
      <c r="AU21" s="48" t="n"/>
      <c r="AV21" s="48" t="n"/>
      <c r="AW21" s="48" t="n"/>
      <c r="AX21" s="48" t="n"/>
      <c r="AY21" s="48" t="n"/>
      <c r="AZ21" s="48" t="n"/>
      <c r="BA21" s="48" t="n"/>
      <c r="BB21" s="48" t="n"/>
      <c r="BC21" s="48" t="n"/>
      <c r="BD21" s="48" t="n"/>
      <c r="BE21" s="48" t="n"/>
      <c r="BF21" s="48" t="n"/>
      <c r="BG21" s="49" t="n"/>
    </row>
    <row r="22" ht="15" customHeight="1">
      <c r="A22" s="55" t="n"/>
      <c r="B22" s="55" t="n"/>
      <c r="C22" s="55" t="n"/>
      <c r="D22" s="55" t="n"/>
      <c r="E22" s="55" t="n"/>
      <c r="F22" s="55" t="n"/>
      <c r="G22" s="67" t="n"/>
      <c r="H22" s="67" t="n"/>
      <c r="I22" s="67" t="n"/>
      <c r="J22" s="67" t="n"/>
      <c r="K22" s="67" t="n"/>
      <c r="L22" s="67" t="n"/>
      <c r="M22" s="67" t="n"/>
      <c r="N22" s="67" t="n"/>
      <c r="O22" s="67" t="n"/>
      <c r="P22" s="21" t="n"/>
      <c r="Q22" s="21" t="n"/>
      <c r="R22" s="68" t="n"/>
      <c r="AE22" s="57" t="n"/>
      <c r="AF22" s="68" t="n"/>
      <c r="AS22" s="57" t="n"/>
      <c r="AT22" s="68" t="n"/>
      <c r="BG22" s="57" t="n"/>
    </row>
    <row r="23" ht="15" customHeight="1">
      <c r="A23" s="55" t="n"/>
      <c r="B23" s="55" t="n"/>
      <c r="C23" s="55" t="n"/>
      <c r="D23" s="55" t="n"/>
      <c r="E23" s="55" t="n"/>
      <c r="F23" s="55" t="n"/>
      <c r="G23" s="67" t="n"/>
      <c r="H23" s="67" t="n"/>
      <c r="I23" s="67" t="n"/>
      <c r="J23" s="67" t="n"/>
      <c r="K23" s="67" t="n"/>
      <c r="L23" s="67" t="n"/>
      <c r="M23" s="67" t="n"/>
      <c r="N23" s="67" t="n"/>
      <c r="O23" s="67" t="n"/>
      <c r="P23" s="21" t="n"/>
      <c r="Q23" s="21" t="n"/>
      <c r="R23" s="58" t="n"/>
      <c r="S23" s="59" t="n"/>
      <c r="T23" s="59" t="n"/>
      <c r="U23" s="59" t="n"/>
      <c r="V23" s="59" t="n"/>
      <c r="W23" s="59" t="n"/>
      <c r="X23" s="59" t="n"/>
      <c r="Y23" s="59" t="n"/>
      <c r="Z23" s="59" t="n"/>
      <c r="AA23" s="59" t="n"/>
      <c r="AB23" s="59" t="n"/>
      <c r="AC23" s="59" t="n"/>
      <c r="AD23" s="59" t="n"/>
      <c r="AE23" s="60" t="n"/>
      <c r="AF23" s="58" t="n"/>
      <c r="AG23" s="59" t="n"/>
      <c r="AH23" s="59" t="n"/>
      <c r="AI23" s="59" t="n"/>
      <c r="AJ23" s="59" t="n"/>
      <c r="AK23" s="59" t="n"/>
      <c r="AL23" s="59" t="n"/>
      <c r="AM23" s="59" t="n"/>
      <c r="AN23" s="59" t="n"/>
      <c r="AO23" s="59" t="n"/>
      <c r="AP23" s="59" t="n"/>
      <c r="AQ23" s="59" t="n"/>
      <c r="AR23" s="59" t="n"/>
      <c r="AS23" s="60" t="n"/>
      <c r="AT23" s="58" t="n"/>
      <c r="AU23" s="59" t="n"/>
      <c r="AV23" s="59" t="n"/>
      <c r="AW23" s="59" t="n"/>
      <c r="AX23" s="59" t="n"/>
      <c r="AY23" s="59" t="n"/>
      <c r="AZ23" s="59" t="n"/>
      <c r="BA23" s="59" t="n"/>
      <c r="BB23" s="59" t="n"/>
      <c r="BC23" s="59" t="n"/>
      <c r="BD23" s="59" t="n"/>
      <c r="BE23" s="59" t="n"/>
      <c r="BF23" s="59" t="n"/>
      <c r="BG23" s="60" t="n"/>
    </row>
    <row r="24" ht="15" customHeight="1">
      <c r="A24" s="55" t="n"/>
      <c r="B24" s="55" t="n"/>
      <c r="C24" s="55" t="n"/>
      <c r="D24" s="55" t="n"/>
      <c r="E24" s="55" t="n"/>
      <c r="F24" s="55" t="n"/>
      <c r="G24" s="67" t="n"/>
      <c r="H24" s="67" t="n"/>
      <c r="I24" s="67" t="n"/>
      <c r="J24" s="67" t="n"/>
      <c r="K24" s="67" t="n"/>
      <c r="L24" s="67" t="n"/>
      <c r="M24" s="67" t="n"/>
      <c r="N24" s="67" t="n"/>
      <c r="O24" s="67" t="n"/>
      <c r="P24" s="21" t="n"/>
      <c r="Q24" s="21" t="n"/>
      <c r="R24" s="23" t="inlineStr">
        <is>
          <t>J.ARBOLEDA</t>
        </is>
      </c>
      <c r="S24" s="48" t="n"/>
      <c r="T24" s="48" t="n"/>
      <c r="U24" s="48" t="n"/>
      <c r="V24" s="48" t="n"/>
      <c r="W24" s="48" t="n"/>
      <c r="X24" s="48" t="n"/>
      <c r="Y24" s="48" t="n"/>
      <c r="Z24" s="48" t="n"/>
      <c r="AA24" s="48" t="n"/>
      <c r="AB24" s="48" t="n"/>
      <c r="AC24" s="48" t="n"/>
      <c r="AD24" s="48" t="n"/>
      <c r="AE24" s="49" t="n"/>
      <c r="AF24" s="24" t="n"/>
      <c r="AG24" s="48" t="n"/>
      <c r="AH24" s="48" t="n"/>
      <c r="AI24" s="48" t="n"/>
      <c r="AJ24" s="48" t="n"/>
      <c r="AK24" s="48" t="n"/>
      <c r="AL24" s="48" t="n"/>
      <c r="AM24" s="48" t="n"/>
      <c r="AN24" s="48" t="n"/>
      <c r="AO24" s="48" t="n"/>
      <c r="AP24" s="48" t="n"/>
      <c r="AQ24" s="48" t="n"/>
      <c r="AR24" s="48" t="n"/>
      <c r="AS24" s="49" t="n"/>
      <c r="AT24" s="24" t="n"/>
      <c r="AU24" s="48" t="n"/>
      <c r="AV24" s="48" t="n"/>
      <c r="AW24" s="48" t="n"/>
      <c r="AX24" s="48" t="n"/>
      <c r="AY24" s="48" t="n"/>
      <c r="AZ24" s="48" t="n"/>
      <c r="BA24" s="48" t="n"/>
      <c r="BB24" s="48" t="n"/>
      <c r="BC24" s="48" t="n"/>
      <c r="BD24" s="48" t="n"/>
      <c r="BE24" s="48" t="n"/>
      <c r="BF24" s="48" t="n"/>
      <c r="BG24" s="49" t="n"/>
    </row>
    <row r="25" ht="15" customHeight="1">
      <c r="A25" s="55" t="n"/>
      <c r="B25" s="55" t="n"/>
      <c r="C25" s="55" t="n"/>
      <c r="D25" s="55" t="n"/>
      <c r="E25" s="55" t="n"/>
      <c r="F25" s="55" t="n"/>
      <c r="G25" s="67" t="n"/>
      <c r="H25" s="67" t="n"/>
      <c r="I25" s="67" t="n"/>
      <c r="J25" s="67" t="n"/>
      <c r="K25" s="67" t="n"/>
      <c r="L25" s="67" t="n"/>
      <c r="M25" s="67" t="n"/>
      <c r="N25" s="67" t="n"/>
      <c r="O25" s="67" t="n"/>
      <c r="P25" s="21" t="n"/>
      <c r="Q25" s="21" t="n"/>
      <c r="R25" s="68" t="n"/>
      <c r="AE25" s="57" t="n"/>
      <c r="AF25" s="68" t="n"/>
      <c r="AS25" s="57" t="n"/>
      <c r="AT25" s="68" t="n"/>
      <c r="BG25" s="57" t="n"/>
    </row>
    <row r="26" ht="15" customHeight="1">
      <c r="A26" s="55" t="n"/>
      <c r="B26" s="55" t="n"/>
      <c r="C26" s="55" t="n"/>
      <c r="D26" s="55" t="n"/>
      <c r="E26" s="55" t="n"/>
      <c r="F26" s="55" t="n"/>
      <c r="G26" s="67" t="n"/>
      <c r="H26" s="67" t="n"/>
      <c r="I26" s="67" t="n"/>
      <c r="J26" s="67" t="n"/>
      <c r="K26" s="67" t="n"/>
      <c r="L26" s="67" t="n"/>
      <c r="M26" s="67" t="n"/>
      <c r="N26" s="67" t="n"/>
      <c r="O26" s="67" t="n"/>
      <c r="P26" s="21" t="n"/>
      <c r="Q26" s="21" t="n"/>
      <c r="R26" s="58" t="n"/>
      <c r="S26" s="59" t="n"/>
      <c r="T26" s="59" t="n"/>
      <c r="U26" s="59" t="n"/>
      <c r="V26" s="59" t="n"/>
      <c r="W26" s="59" t="n"/>
      <c r="X26" s="59" t="n"/>
      <c r="Y26" s="59" t="n"/>
      <c r="Z26" s="59" t="n"/>
      <c r="AA26" s="59" t="n"/>
      <c r="AB26" s="59" t="n"/>
      <c r="AC26" s="59" t="n"/>
      <c r="AD26" s="59" t="n"/>
      <c r="AE26" s="60" t="n"/>
      <c r="AF26" s="58" t="n"/>
      <c r="AG26" s="59" t="n"/>
      <c r="AH26" s="59" t="n"/>
      <c r="AI26" s="59" t="n"/>
      <c r="AJ26" s="59" t="n"/>
      <c r="AK26" s="59" t="n"/>
      <c r="AL26" s="59" t="n"/>
      <c r="AM26" s="59" t="n"/>
      <c r="AN26" s="59" t="n"/>
      <c r="AO26" s="59" t="n"/>
      <c r="AP26" s="59" t="n"/>
      <c r="AQ26" s="59" t="n"/>
      <c r="AR26" s="59" t="n"/>
      <c r="AS26" s="60" t="n"/>
      <c r="AT26" s="58" t="n"/>
      <c r="AU26" s="59" t="n"/>
      <c r="AV26" s="59" t="n"/>
      <c r="AW26" s="59" t="n"/>
      <c r="AX26" s="59" t="n"/>
      <c r="AY26" s="59" t="n"/>
      <c r="AZ26" s="59" t="n"/>
      <c r="BA26" s="59" t="n"/>
      <c r="BB26" s="59" t="n"/>
      <c r="BC26" s="59" t="n"/>
      <c r="BD26" s="59" t="n"/>
      <c r="BE26" s="59" t="n"/>
      <c r="BF26" s="59" t="n"/>
      <c r="BG26" s="60" t="n"/>
    </row>
    <row r="27" ht="15" customHeight="1">
      <c r="A27" s="55" t="n"/>
      <c r="B27" s="55" t="n"/>
      <c r="C27" s="55" t="n"/>
      <c r="D27" s="55" t="n"/>
      <c r="E27" s="55" t="n"/>
      <c r="F27" s="55" t="n"/>
      <c r="G27" s="67" t="n"/>
      <c r="H27" s="67" t="n"/>
      <c r="I27" s="67" t="n"/>
      <c r="J27" s="67" t="n"/>
      <c r="K27" s="67" t="n"/>
      <c r="L27" s="67" t="n"/>
      <c r="M27" s="67" t="n"/>
      <c r="N27" s="67" t="n"/>
      <c r="O27" s="67" t="n"/>
      <c r="P27" s="21" t="n"/>
      <c r="Q27" s="21" t="n"/>
      <c r="R27" s="24">
        <f>"Fecha :"&amp;BO3</f>
        <v/>
      </c>
      <c r="S27" s="48" t="n"/>
      <c r="T27" s="48" t="n"/>
      <c r="U27" s="48" t="n"/>
      <c r="V27" s="48" t="n"/>
      <c r="W27" s="48" t="n"/>
      <c r="X27" s="48" t="n"/>
      <c r="Y27" s="48" t="n"/>
      <c r="Z27" s="48" t="n"/>
      <c r="AA27" s="48" t="n"/>
      <c r="AB27" s="48" t="n"/>
      <c r="AC27" s="48" t="n"/>
      <c r="AD27" s="48" t="n"/>
      <c r="AE27" s="49" t="n"/>
      <c r="AF27" s="24">
        <f>"Fecha :"&amp;CC1</f>
        <v/>
      </c>
      <c r="AG27" s="48" t="n"/>
      <c r="AH27" s="48" t="n"/>
      <c r="AI27" s="48" t="n"/>
      <c r="AJ27" s="48" t="n"/>
      <c r="AK27" s="48" t="n"/>
      <c r="AL27" s="48" t="n"/>
      <c r="AM27" s="48" t="n"/>
      <c r="AN27" s="48" t="n"/>
      <c r="AO27" s="48" t="n"/>
      <c r="AP27" s="48" t="n"/>
      <c r="AQ27" s="48" t="n"/>
      <c r="AR27" s="48" t="n"/>
      <c r="AS27" s="49" t="n"/>
      <c r="AT27" s="24">
        <f>"Fecha :"&amp;CC2</f>
        <v/>
      </c>
      <c r="AU27" s="48" t="n"/>
      <c r="AV27" s="48" t="n"/>
      <c r="AW27" s="48" t="n"/>
      <c r="AX27" s="48" t="n"/>
      <c r="AY27" s="48" t="n"/>
      <c r="AZ27" s="48" t="n"/>
      <c r="BA27" s="48" t="n"/>
      <c r="BB27" s="48" t="n"/>
      <c r="BC27" s="48" t="n"/>
      <c r="BD27" s="48" t="n"/>
      <c r="BE27" s="48" t="n"/>
      <c r="BF27" s="48" t="n"/>
      <c r="BG27" s="49" t="n"/>
    </row>
    <row r="28" ht="15" customHeight="1">
      <c r="A28" s="55" t="n"/>
      <c r="B28" s="55" t="n"/>
      <c r="C28" s="55" t="n"/>
      <c r="D28" s="55" t="n"/>
      <c r="E28" s="55" t="n"/>
      <c r="F28" s="55" t="n"/>
      <c r="G28" s="67" t="n"/>
      <c r="H28" s="67" t="n"/>
      <c r="I28" s="67" t="n"/>
      <c r="J28" s="67" t="n"/>
      <c r="K28" s="67" t="n"/>
      <c r="L28" s="67" t="n"/>
      <c r="M28" s="67" t="n"/>
      <c r="N28" s="67" t="n"/>
      <c r="O28" s="67" t="n"/>
      <c r="P28" s="21" t="n"/>
      <c r="Q28" s="21" t="n"/>
      <c r="R28" s="68" t="n"/>
      <c r="AE28" s="57" t="n"/>
      <c r="AF28" s="68" t="n"/>
      <c r="AS28" s="57" t="n"/>
      <c r="AT28" s="68" t="n"/>
      <c r="BG28" s="57" t="n"/>
    </row>
    <row r="29" ht="15" customHeight="1">
      <c r="A29" s="55" t="n"/>
      <c r="B29" s="55" t="n"/>
      <c r="C29" s="55" t="n"/>
      <c r="D29" s="55" t="n"/>
      <c r="E29" s="55" t="n"/>
      <c r="F29" s="55" t="n"/>
      <c r="G29" s="67" t="n"/>
      <c r="H29" s="67" t="n"/>
      <c r="I29" s="67" t="n"/>
      <c r="J29" s="67" t="n"/>
      <c r="K29" s="67" t="n"/>
      <c r="L29" s="67" t="n"/>
      <c r="M29" s="67" t="n"/>
      <c r="N29" s="67" t="n"/>
      <c r="O29" s="67" t="n"/>
      <c r="P29" s="21" t="n"/>
      <c r="Q29" s="21" t="n"/>
      <c r="R29" s="58" t="n"/>
      <c r="S29" s="59" t="n"/>
      <c r="T29" s="59" t="n"/>
      <c r="U29" s="59" t="n"/>
      <c r="V29" s="59" t="n"/>
      <c r="W29" s="59" t="n"/>
      <c r="X29" s="59" t="n"/>
      <c r="Y29" s="59" t="n"/>
      <c r="Z29" s="59" t="n"/>
      <c r="AA29" s="59" t="n"/>
      <c r="AB29" s="59" t="n"/>
      <c r="AC29" s="59" t="n"/>
      <c r="AD29" s="59" t="n"/>
      <c r="AE29" s="60" t="n"/>
      <c r="AF29" s="58" t="n"/>
      <c r="AG29" s="59" t="n"/>
      <c r="AH29" s="59" t="n"/>
      <c r="AI29" s="59" t="n"/>
      <c r="AJ29" s="59" t="n"/>
      <c r="AK29" s="59" t="n"/>
      <c r="AL29" s="59" t="n"/>
      <c r="AM29" s="59" t="n"/>
      <c r="AN29" s="59" t="n"/>
      <c r="AO29" s="59" t="n"/>
      <c r="AP29" s="59" t="n"/>
      <c r="AQ29" s="59" t="n"/>
      <c r="AR29" s="59" t="n"/>
      <c r="AS29" s="60" t="n"/>
      <c r="AT29" s="58" t="n"/>
      <c r="AU29" s="59" t="n"/>
      <c r="AV29" s="59" t="n"/>
      <c r="AW29" s="59" t="n"/>
      <c r="AX29" s="59" t="n"/>
      <c r="AY29" s="59" t="n"/>
      <c r="AZ29" s="59" t="n"/>
      <c r="BA29" s="59" t="n"/>
      <c r="BB29" s="59" t="n"/>
      <c r="BC29" s="59" t="n"/>
      <c r="BD29" s="59" t="n"/>
      <c r="BE29" s="59" t="n"/>
      <c r="BF29" s="59" t="n"/>
      <c r="BG29" s="60" t="n"/>
    </row>
    <row r="30" ht="15" customHeight="1">
      <c r="A30" s="55" t="n"/>
      <c r="B30" s="55" t="n"/>
      <c r="C30" s="55" t="n"/>
      <c r="D30" s="55" t="n"/>
      <c r="E30" s="55" t="n"/>
      <c r="F30" s="55" t="n"/>
      <c r="G30" s="67" t="n"/>
      <c r="H30" s="67" t="n"/>
      <c r="I30" s="67" t="n"/>
      <c r="J30" s="67" t="n"/>
      <c r="K30" s="67" t="n"/>
      <c r="L30" s="67" t="n"/>
      <c r="M30" s="67" t="n"/>
      <c r="N30" s="67" t="n"/>
      <c r="O30" s="67" t="n"/>
      <c r="P30" s="21" t="n"/>
      <c r="Q30" s="21" t="n"/>
      <c r="R30" s="21" t="n"/>
      <c r="S30" s="21" t="n"/>
      <c r="T30" s="21" t="n"/>
      <c r="U30" s="21" t="n"/>
      <c r="V30" s="21" t="n"/>
      <c r="W30" s="21" t="n"/>
      <c r="X30" s="21" t="n"/>
      <c r="Y30" s="21" t="n"/>
      <c r="Z30" s="21" t="n"/>
      <c r="AA30" s="21" t="n"/>
      <c r="AB30" s="21" t="n"/>
      <c r="AC30" s="5" t="n"/>
      <c r="AD30" s="21" t="n"/>
      <c r="AE30" s="21" t="n"/>
      <c r="AF30" s="21" t="n"/>
    </row>
    <row r="31" ht="15" customHeight="1">
      <c r="A31" s="55" t="n"/>
      <c r="B31" s="55" t="n"/>
      <c r="C31" s="55" t="n"/>
      <c r="D31" s="55" t="n"/>
      <c r="E31" s="55" t="n"/>
      <c r="F31" s="55" t="n"/>
      <c r="G31" s="67" t="n"/>
      <c r="H31" s="67" t="n"/>
      <c r="I31" s="67" t="n"/>
      <c r="J31" s="67" t="n"/>
      <c r="K31" s="67" t="n"/>
      <c r="L31" s="67" t="n"/>
      <c r="M31" s="67" t="n"/>
      <c r="N31" s="67" t="n"/>
      <c r="O31" s="67" t="n"/>
      <c r="P31" s="21" t="n"/>
      <c r="Q31" s="21" t="n"/>
      <c r="R31" s="21" t="n"/>
      <c r="S31" s="21" t="n"/>
      <c r="T31" s="21" t="n"/>
      <c r="U31" s="21" t="n"/>
      <c r="V31" s="21" t="n"/>
      <c r="W31" s="21" t="n"/>
      <c r="X31" s="21" t="n"/>
      <c r="Y31" s="21" t="n"/>
      <c r="Z31" s="21" t="n"/>
      <c r="AA31" s="21" t="n"/>
      <c r="AB31" s="21" t="n"/>
      <c r="AC31" s="5" t="n"/>
      <c r="AD31" s="21" t="n"/>
      <c r="AE31" s="21" t="n"/>
      <c r="AF31" s="21" t="n"/>
    </row>
    <row r="32" ht="15" customHeight="1">
      <c r="A32" s="55" t="n"/>
      <c r="B32" s="55" t="n"/>
      <c r="C32" s="55" t="n"/>
      <c r="D32" s="55" t="n"/>
      <c r="E32" s="55" t="n"/>
      <c r="F32" s="55" t="n"/>
      <c r="G32" s="67" t="n"/>
      <c r="H32" s="67" t="n"/>
      <c r="I32" s="67" t="n"/>
      <c r="J32" s="67" t="n"/>
      <c r="K32" s="67" t="n"/>
      <c r="L32" s="67" t="n"/>
      <c r="M32" s="67" t="n"/>
      <c r="N32" s="67" t="n"/>
      <c r="O32" s="67" t="n"/>
      <c r="P32" s="21" t="n"/>
      <c r="Q32" s="21" t="n"/>
      <c r="R32" s="21" t="n"/>
      <c r="S32" s="21" t="n"/>
      <c r="T32" s="21" t="n"/>
      <c r="U32" s="21" t="n"/>
      <c r="V32" s="21" t="n"/>
      <c r="W32" s="21" t="n"/>
      <c r="X32" s="21" t="n"/>
      <c r="Y32" s="21" t="n"/>
      <c r="Z32" s="21" t="n"/>
      <c r="AA32" s="21" t="n"/>
      <c r="AB32" s="21" t="n"/>
      <c r="AC32" s="5" t="n"/>
      <c r="AD32" s="21" t="n"/>
      <c r="AE32" s="21" t="n"/>
      <c r="AF32" s="21" t="n"/>
    </row>
    <row r="33" ht="15" customHeight="1">
      <c r="A33" s="55" t="n"/>
      <c r="B33" s="55" t="n"/>
      <c r="C33" s="55" t="n"/>
      <c r="D33" s="55" t="n"/>
      <c r="E33" s="55" t="n"/>
      <c r="F33" s="55" t="n"/>
      <c r="G33" s="67" t="n"/>
      <c r="H33" s="67" t="n"/>
      <c r="I33" s="67" t="n"/>
      <c r="J33" s="67" t="n"/>
      <c r="K33" s="67" t="n"/>
      <c r="L33" s="67" t="n"/>
      <c r="M33" s="67" t="n"/>
      <c r="N33" s="67" t="n"/>
      <c r="O33" s="67" t="n"/>
      <c r="P33" s="21" t="n"/>
      <c r="Q33" s="21" t="n"/>
      <c r="R33" s="21" t="n"/>
      <c r="S33" s="21" t="n"/>
      <c r="T33" s="21" t="n"/>
      <c r="U33" s="21" t="n"/>
      <c r="V33" s="21" t="n"/>
      <c r="W33" s="21" t="n"/>
      <c r="X33" s="21" t="n"/>
      <c r="Y33" s="21" t="n"/>
      <c r="Z33" s="21" t="n"/>
      <c r="AA33" s="21" t="n"/>
      <c r="AB33" s="21" t="n"/>
      <c r="AC33" s="5" t="n"/>
      <c r="AD33" s="21" t="n"/>
      <c r="AE33" s="21" t="n"/>
      <c r="AF33" s="21" t="n"/>
    </row>
    <row r="34" ht="15" customHeight="1">
      <c r="A34" s="55" t="n"/>
      <c r="B34" s="55" t="n"/>
      <c r="C34" s="55" t="n"/>
      <c r="D34" s="55" t="n"/>
      <c r="E34" s="55" t="n"/>
      <c r="F34" s="55" t="n"/>
      <c r="G34" s="67" t="n"/>
      <c r="H34" s="67" t="n"/>
      <c r="I34" s="67" t="n"/>
      <c r="J34" s="67" t="n"/>
      <c r="K34" s="67" t="n"/>
      <c r="L34" s="67" t="n"/>
      <c r="M34" s="67" t="n"/>
      <c r="N34" s="67" t="n"/>
      <c r="O34" s="67" t="n"/>
      <c r="P34" s="21" t="n"/>
      <c r="Q34" s="21" t="n"/>
      <c r="R34" s="21" t="n"/>
      <c r="S34" s="21" t="n"/>
      <c r="T34" s="21" t="n"/>
      <c r="U34" s="21" t="n"/>
      <c r="V34" s="21" t="n"/>
      <c r="W34" s="21" t="n"/>
      <c r="X34" s="21" t="n"/>
      <c r="Y34" s="21" t="n"/>
      <c r="Z34" s="21" t="n"/>
      <c r="AA34" s="21" t="n"/>
      <c r="AB34" s="21" t="n"/>
      <c r="AC34" s="5" t="n"/>
      <c r="AD34" s="21" t="n"/>
      <c r="AE34" s="21" t="n"/>
      <c r="AF34" s="21" t="n"/>
    </row>
    <row r="35" ht="15" customHeight="1">
      <c r="A35" s="55" t="n"/>
      <c r="B35" s="55" t="n"/>
      <c r="C35" s="55" t="n"/>
      <c r="D35" s="55" t="n"/>
      <c r="E35" s="55" t="n"/>
      <c r="F35" s="55" t="n"/>
      <c r="G35" s="67" t="n"/>
      <c r="H35" s="67" t="n"/>
      <c r="I35" s="67" t="n"/>
      <c r="J35" s="67" t="n"/>
      <c r="K35" s="67" t="n"/>
      <c r="L35" s="67" t="n"/>
      <c r="M35" s="67" t="n"/>
      <c r="N35" s="67" t="n"/>
      <c r="O35" s="67" t="n"/>
      <c r="P35" s="21" t="n"/>
      <c r="Q35" s="21" t="n"/>
      <c r="R35" s="21" t="n"/>
      <c r="S35" s="21" t="n"/>
      <c r="T35" s="21" t="n"/>
      <c r="U35" s="21" t="n"/>
      <c r="V35" s="21" t="n"/>
      <c r="W35" s="21" t="n"/>
      <c r="X35" s="21" t="n"/>
      <c r="Y35" s="21" t="n"/>
      <c r="Z35" s="21" t="n"/>
      <c r="AA35" s="21" t="n"/>
      <c r="AB35" s="21" t="n"/>
      <c r="AC35" s="5" t="n"/>
      <c r="AD35" s="21" t="n"/>
      <c r="AE35" s="21" t="n"/>
      <c r="AF35" s="21" t="n"/>
    </row>
    <row r="36" ht="15" customHeight="1">
      <c r="A36" s="55" t="n"/>
      <c r="B36" s="55" t="n"/>
      <c r="C36" s="55" t="n"/>
      <c r="D36" s="55" t="n"/>
      <c r="E36" s="55" t="n"/>
      <c r="F36" s="55" t="n"/>
      <c r="G36" s="67" t="n"/>
      <c r="H36" s="67" t="n"/>
      <c r="I36" s="67" t="n"/>
      <c r="J36" s="67" t="n"/>
      <c r="K36" s="67" t="n"/>
      <c r="L36" s="67" t="n"/>
      <c r="M36" s="67" t="n"/>
      <c r="N36" s="67" t="n"/>
      <c r="O36" s="67" t="n"/>
      <c r="P36" s="21" t="n"/>
      <c r="Q36" s="21" t="n"/>
      <c r="R36" s="21" t="n"/>
      <c r="S36" s="21" t="n"/>
      <c r="T36" s="21" t="n"/>
      <c r="U36" s="21" t="n"/>
      <c r="V36" s="21" t="n"/>
      <c r="W36" s="21" t="n"/>
      <c r="X36" s="21" t="n"/>
      <c r="Y36" s="21" t="n"/>
      <c r="Z36" s="21" t="n"/>
      <c r="AA36" s="21" t="n"/>
      <c r="AB36" s="21" t="n"/>
      <c r="AC36" s="5" t="n"/>
      <c r="AD36" s="21" t="n"/>
      <c r="AE36" s="21" t="n"/>
      <c r="AF36" s="21" t="n"/>
      <c r="BK36" s="21" t="n"/>
    </row>
    <row r="37" ht="15" customHeight="1">
      <c r="A37" s="55" t="n"/>
      <c r="B37" s="55" t="n"/>
      <c r="C37" s="55" t="n"/>
      <c r="D37" s="55" t="n"/>
      <c r="E37" s="55" t="n"/>
      <c r="F37" s="55" t="n"/>
      <c r="G37" s="67" t="n"/>
      <c r="H37" s="67" t="n"/>
      <c r="I37" s="67" t="n"/>
      <c r="J37" s="67" t="n"/>
      <c r="K37" s="67" t="n"/>
      <c r="L37" s="67" t="n"/>
      <c r="M37" s="67" t="n"/>
      <c r="N37" s="67" t="n"/>
      <c r="O37" s="67" t="n"/>
      <c r="P37" s="21" t="n"/>
      <c r="Q37" s="21" t="n"/>
      <c r="R37" s="21" t="n"/>
      <c r="S37" s="21" t="n"/>
      <c r="T37" s="21" t="n"/>
      <c r="U37" s="21" t="n"/>
      <c r="V37" s="21" t="n"/>
      <c r="W37" s="21" t="n"/>
      <c r="X37" s="21" t="n"/>
      <c r="Y37" s="21" t="n"/>
      <c r="Z37" s="21" t="n"/>
      <c r="AA37" s="21" t="n"/>
      <c r="AB37" s="21" t="n"/>
      <c r="AC37" s="5" t="n"/>
      <c r="AD37" s="21" t="n"/>
      <c r="AE37" s="21" t="n"/>
      <c r="AF37" s="21" t="n"/>
    </row>
    <row r="38" ht="15" customHeight="1">
      <c r="A38" s="55" t="n"/>
      <c r="B38" s="55" t="n"/>
      <c r="C38" s="55" t="n"/>
      <c r="D38" s="55" t="n"/>
      <c r="E38" s="55" t="n"/>
      <c r="F38" s="55" t="n"/>
      <c r="G38" s="67" t="n"/>
      <c r="H38" s="67" t="n"/>
      <c r="I38" s="67" t="n"/>
      <c r="J38" s="67" t="n"/>
      <c r="K38" s="67" t="n"/>
      <c r="L38" s="67" t="n"/>
      <c r="M38" s="67" t="n"/>
      <c r="N38" s="67" t="n"/>
      <c r="O38" s="67" t="n"/>
      <c r="P38" s="21" t="n"/>
      <c r="Q38" s="21" t="n"/>
      <c r="R38" s="21" t="n"/>
      <c r="S38" s="21" t="n"/>
      <c r="T38" s="21" t="n"/>
      <c r="U38" s="21" t="n"/>
      <c r="V38" s="21" t="n"/>
      <c r="W38" s="21" t="n"/>
      <c r="X38" s="21" t="n"/>
      <c r="Y38" s="21" t="n"/>
      <c r="Z38" s="21" t="n"/>
      <c r="AA38" s="21" t="n"/>
      <c r="AB38" s="21" t="n"/>
      <c r="AC38" s="5" t="n"/>
      <c r="AD38" s="21" t="n"/>
      <c r="AE38" s="21" t="n"/>
      <c r="AF38" s="21" t="n"/>
    </row>
    <row r="39" ht="15" customHeight="1">
      <c r="A39" s="55" t="n"/>
      <c r="B39" s="55" t="n"/>
      <c r="C39" s="55" t="n"/>
      <c r="D39" s="55" t="n"/>
      <c r="E39" s="55" t="n"/>
      <c r="F39" s="55" t="n"/>
      <c r="G39" s="67" t="n"/>
      <c r="H39" s="67" t="n"/>
      <c r="I39" s="67" t="n"/>
      <c r="J39" s="67" t="n"/>
      <c r="K39" s="67" t="n"/>
      <c r="L39" s="67" t="n"/>
      <c r="M39" s="67" t="n"/>
      <c r="N39" s="67" t="n"/>
      <c r="O39" s="69" t="inlineStr">
        <is>
          <t>Versión</t>
        </is>
      </c>
      <c r="P39" s="48" t="n"/>
      <c r="Q39" s="48" t="n"/>
      <c r="R39" s="48" t="n"/>
      <c r="S39" s="48" t="n"/>
      <c r="T39" s="48" t="n"/>
      <c r="U39" s="49" t="n"/>
      <c r="V39" s="42" t="inlineStr">
        <is>
          <t>Autor</t>
        </is>
      </c>
      <c r="W39" s="48" t="n"/>
      <c r="X39" s="48" t="n"/>
      <c r="Y39" s="48" t="n"/>
      <c r="Z39" s="48" t="n"/>
      <c r="AA39" s="48" t="n"/>
      <c r="AB39" s="49" t="n"/>
      <c r="AC39" s="43" t="inlineStr">
        <is>
          <t>Descripción</t>
        </is>
      </c>
      <c r="AD39" s="48" t="n"/>
      <c r="AE39" s="48" t="n"/>
      <c r="AF39" s="48" t="n"/>
      <c r="AG39" s="48" t="n"/>
      <c r="AH39" s="48" t="n"/>
      <c r="AI39" s="48" t="n"/>
      <c r="AJ39" s="48" t="n"/>
      <c r="AK39" s="48" t="n"/>
      <c r="AL39" s="48" t="n"/>
      <c r="AM39" s="48" t="n"/>
      <c r="AN39" s="48" t="n"/>
      <c r="AO39" s="49" t="n"/>
      <c r="AP39" s="42" t="inlineStr">
        <is>
          <t>Fecha de elaboración</t>
        </is>
      </c>
      <c r="AQ39" s="48" t="n"/>
      <c r="AR39" s="48" t="n"/>
      <c r="AS39" s="48" t="n"/>
      <c r="AT39" s="48" t="n"/>
      <c r="AU39" s="48" t="n"/>
      <c r="AV39" s="49" t="n"/>
      <c r="AW39" s="42" t="inlineStr">
        <is>
          <t>Fecha de revisión</t>
        </is>
      </c>
      <c r="AX39" s="48" t="n"/>
      <c r="AY39" s="48" t="n"/>
      <c r="AZ39" s="48" t="n"/>
      <c r="BA39" s="48" t="n"/>
      <c r="BB39" s="48" t="n"/>
      <c r="BC39" s="49" t="n"/>
      <c r="BD39" s="42" t="inlineStr">
        <is>
          <t>Revisado por</t>
        </is>
      </c>
      <c r="BE39" s="48" t="n"/>
      <c r="BF39" s="48" t="n"/>
      <c r="BG39" s="48" t="n"/>
      <c r="BH39" s="48" t="n"/>
      <c r="BI39" s="48" t="n"/>
      <c r="BJ39" s="49" t="n"/>
    </row>
    <row r="40" ht="15" customHeight="1">
      <c r="A40" s="55" t="n"/>
      <c r="B40" s="55" t="n"/>
      <c r="C40" s="55" t="n"/>
      <c r="D40" s="55" t="n"/>
      <c r="E40" s="55" t="n"/>
      <c r="F40" s="55" t="n"/>
      <c r="G40" s="67" t="n"/>
      <c r="H40" s="67" t="n"/>
      <c r="I40" s="67" t="n"/>
      <c r="J40" s="67" t="n"/>
      <c r="K40" s="67" t="n"/>
      <c r="L40" s="67" t="n"/>
      <c r="M40" s="67" t="n"/>
      <c r="N40" s="67" t="n"/>
      <c r="O40" s="54" t="n"/>
      <c r="U40" s="57" t="n"/>
      <c r="V40" s="68" t="n"/>
      <c r="AB40" s="57" t="n"/>
      <c r="AC40" s="68" t="n"/>
      <c r="AO40" s="57" t="n"/>
      <c r="AP40" s="68" t="n"/>
      <c r="AV40" s="57" t="n"/>
      <c r="AW40" s="68" t="n"/>
      <c r="BC40" s="57" t="n"/>
      <c r="BD40" s="68" t="n"/>
      <c r="BJ40" s="57" t="n"/>
    </row>
    <row r="41" ht="15" customHeight="1">
      <c r="A41" s="55" t="n"/>
      <c r="B41" s="55" t="n"/>
      <c r="C41" s="55" t="n"/>
      <c r="D41" s="55" t="n"/>
      <c r="E41" s="55" t="n"/>
      <c r="F41" s="55" t="n"/>
      <c r="G41" s="67" t="n"/>
      <c r="H41" s="67" t="n"/>
      <c r="I41" s="67" t="n"/>
      <c r="J41" s="67" t="n"/>
      <c r="K41" s="67" t="n"/>
      <c r="L41" s="67" t="n"/>
      <c r="M41" s="67" t="n"/>
      <c r="N41" s="67" t="n"/>
      <c r="O41" s="61" t="n"/>
      <c r="P41" s="59" t="n"/>
      <c r="Q41" s="59" t="n"/>
      <c r="R41" s="59" t="n"/>
      <c r="S41" s="59" t="n"/>
      <c r="T41" s="59" t="n"/>
      <c r="U41" s="60" t="n"/>
      <c r="V41" s="58" t="n"/>
      <c r="W41" s="59" t="n"/>
      <c r="X41" s="59" t="n"/>
      <c r="Y41" s="59" t="n"/>
      <c r="Z41" s="59" t="n"/>
      <c r="AA41" s="59" t="n"/>
      <c r="AB41" s="60" t="n"/>
      <c r="AC41" s="58" t="n"/>
      <c r="AD41" s="59" t="n"/>
      <c r="AE41" s="59" t="n"/>
      <c r="AF41" s="59" t="n"/>
      <c r="AG41" s="59" t="n"/>
      <c r="AH41" s="59" t="n"/>
      <c r="AI41" s="59" t="n"/>
      <c r="AJ41" s="59" t="n"/>
      <c r="AK41" s="59" t="n"/>
      <c r="AL41" s="59" t="n"/>
      <c r="AM41" s="59" t="n"/>
      <c r="AN41" s="59" t="n"/>
      <c r="AO41" s="60" t="n"/>
      <c r="AP41" s="58" t="n"/>
      <c r="AQ41" s="59" t="n"/>
      <c r="AR41" s="59" t="n"/>
      <c r="AS41" s="59" t="n"/>
      <c r="AT41" s="59" t="n"/>
      <c r="AU41" s="59" t="n"/>
      <c r="AV41" s="60" t="n"/>
      <c r="AW41" s="58" t="n"/>
      <c r="AX41" s="59" t="n"/>
      <c r="AY41" s="59" t="n"/>
      <c r="AZ41" s="59" t="n"/>
      <c r="BA41" s="59" t="n"/>
      <c r="BB41" s="59" t="n"/>
      <c r="BC41" s="60" t="n"/>
      <c r="BD41" s="58" t="n"/>
      <c r="BE41" s="59" t="n"/>
      <c r="BF41" s="59" t="n"/>
      <c r="BG41" s="59" t="n"/>
      <c r="BH41" s="59" t="n"/>
      <c r="BI41" s="59" t="n"/>
      <c r="BJ41" s="60" t="n"/>
    </row>
    <row r="42" ht="15" customHeight="1">
      <c r="A42" s="55" t="n"/>
      <c r="B42" s="55" t="n"/>
      <c r="C42" s="55" t="n"/>
      <c r="D42" s="55" t="n"/>
      <c r="E42" s="55" t="n"/>
      <c r="F42" s="55" t="n"/>
      <c r="G42" s="67" t="n"/>
      <c r="H42" s="67" t="n"/>
      <c r="I42" s="67" t="n"/>
      <c r="J42" s="67" t="n"/>
      <c r="K42" s="67" t="n"/>
      <c r="L42" s="67" t="n"/>
      <c r="M42" s="67" t="n"/>
      <c r="N42" s="67" t="n"/>
      <c r="O42" s="70" t="inlineStr">
        <is>
          <t>CERO (0)</t>
        </is>
      </c>
      <c r="P42" s="48" t="n"/>
      <c r="Q42" s="48" t="n"/>
      <c r="R42" s="48" t="n"/>
      <c r="S42" s="48" t="n"/>
      <c r="T42" s="48" t="n"/>
      <c r="U42" s="49" t="n"/>
      <c r="V42" s="37" t="inlineStr">
        <is>
          <t>J.ARBOLEDA</t>
        </is>
      </c>
      <c r="W42" s="48" t="n"/>
      <c r="X42" s="48" t="n"/>
      <c r="Y42" s="48" t="n"/>
      <c r="Z42" s="48" t="n"/>
      <c r="AA42" s="48" t="n"/>
      <c r="AB42" s="49" t="n"/>
      <c r="AC42" s="38" t="inlineStr">
        <is>
          <t>Emitido para cotizacion</t>
        </is>
      </c>
      <c r="AD42" s="48" t="n"/>
      <c r="AE42" s="48" t="n"/>
      <c r="AF42" s="48" t="n"/>
      <c r="AG42" s="48" t="n"/>
      <c r="AH42" s="48" t="n"/>
      <c r="AI42" s="48" t="n"/>
      <c r="AJ42" s="48" t="n"/>
      <c r="AK42" s="48" t="n"/>
      <c r="AL42" s="48" t="n"/>
      <c r="AM42" s="48" t="n"/>
      <c r="AN42" s="48" t="n"/>
      <c r="AO42" s="49" t="n"/>
      <c r="AP42" s="39">
        <f>BO3</f>
        <v/>
      </c>
      <c r="AQ42" s="48" t="n"/>
      <c r="AR42" s="48" t="n"/>
      <c r="AS42" s="48" t="n"/>
      <c r="AT42" s="48" t="n"/>
      <c r="AU42" s="48" t="n"/>
      <c r="AV42" s="49" t="n"/>
      <c r="AW42" s="39">
        <f>AT27</f>
        <v/>
      </c>
      <c r="AX42" s="48" t="n"/>
      <c r="AY42" s="48" t="n"/>
      <c r="AZ42" s="48" t="n"/>
      <c r="BA42" s="48" t="n"/>
      <c r="BB42" s="48" t="n"/>
      <c r="BC42" s="49" t="n"/>
      <c r="BD42" s="40">
        <f>BO5</f>
        <v/>
      </c>
      <c r="BE42" s="48" t="n"/>
      <c r="BF42" s="48" t="n"/>
      <c r="BG42" s="48" t="n"/>
      <c r="BH42" s="48" t="n"/>
      <c r="BI42" s="48" t="n"/>
      <c r="BJ42" s="49" t="n"/>
    </row>
    <row r="43" ht="15" customHeight="1">
      <c r="A43" s="55" t="n"/>
      <c r="B43" s="55" t="n"/>
      <c r="C43" s="55" t="n"/>
      <c r="D43" s="55" t="n"/>
      <c r="E43" s="55" t="n"/>
      <c r="F43" s="55" t="n"/>
      <c r="G43" s="67" t="n"/>
      <c r="H43" s="67" t="n"/>
      <c r="I43" s="67" t="n"/>
      <c r="J43" s="67" t="n"/>
      <c r="K43" s="67" t="n"/>
      <c r="L43" s="67" t="n"/>
      <c r="M43" s="67" t="n"/>
      <c r="N43" s="67" t="n"/>
      <c r="O43" s="54" t="n"/>
      <c r="U43" s="57" t="n"/>
      <c r="V43" s="68" t="n"/>
      <c r="AB43" s="57" t="n"/>
      <c r="AC43" s="68" t="n"/>
      <c r="AO43" s="57" t="n"/>
      <c r="AP43" s="68" t="n"/>
      <c r="AV43" s="57" t="n"/>
      <c r="AW43" s="68" t="n"/>
      <c r="BC43" s="57" t="n"/>
      <c r="BD43" s="68" t="n"/>
      <c r="BJ43" s="57" t="n"/>
      <c r="BP43" s="21" t="n"/>
    </row>
    <row r="44" ht="15" customHeight="1">
      <c r="A44" s="55" t="n"/>
      <c r="B44" s="55" t="n"/>
      <c r="C44" s="55" t="n"/>
      <c r="D44" s="55" t="n"/>
      <c r="E44" s="55" t="n"/>
      <c r="F44" s="55" t="n"/>
      <c r="G44" s="67" t="n"/>
      <c r="H44" s="67" t="n"/>
      <c r="I44" s="67" t="n"/>
      <c r="J44" s="67" t="n"/>
      <c r="K44" s="67" t="n"/>
      <c r="L44" s="67" t="n"/>
      <c r="M44" s="67" t="n"/>
      <c r="N44" s="67" t="n"/>
      <c r="O44" s="61" t="n"/>
      <c r="P44" s="59" t="n"/>
      <c r="Q44" s="59" t="n"/>
      <c r="R44" s="59" t="n"/>
      <c r="S44" s="59" t="n"/>
      <c r="T44" s="59" t="n"/>
      <c r="U44" s="60" t="n"/>
      <c r="V44" s="58" t="n"/>
      <c r="W44" s="59" t="n"/>
      <c r="X44" s="59" t="n"/>
      <c r="Y44" s="59" t="n"/>
      <c r="Z44" s="59" t="n"/>
      <c r="AA44" s="59" t="n"/>
      <c r="AB44" s="60" t="n"/>
      <c r="AC44" s="58" t="n"/>
      <c r="AD44" s="59" t="n"/>
      <c r="AE44" s="59" t="n"/>
      <c r="AF44" s="59" t="n"/>
      <c r="AG44" s="59" t="n"/>
      <c r="AH44" s="59" t="n"/>
      <c r="AI44" s="59" t="n"/>
      <c r="AJ44" s="59" t="n"/>
      <c r="AK44" s="59" t="n"/>
      <c r="AL44" s="59" t="n"/>
      <c r="AM44" s="59" t="n"/>
      <c r="AN44" s="59" t="n"/>
      <c r="AO44" s="60" t="n"/>
      <c r="AP44" s="58" t="n"/>
      <c r="AQ44" s="59" t="n"/>
      <c r="AR44" s="59" t="n"/>
      <c r="AS44" s="59" t="n"/>
      <c r="AT44" s="59" t="n"/>
      <c r="AU44" s="59" t="n"/>
      <c r="AV44" s="60" t="n"/>
      <c r="AW44" s="58" t="n"/>
      <c r="AX44" s="59" t="n"/>
      <c r="AY44" s="59" t="n"/>
      <c r="AZ44" s="59" t="n"/>
      <c r="BA44" s="59" t="n"/>
      <c r="BB44" s="59" t="n"/>
      <c r="BC44" s="60" t="n"/>
      <c r="BD44" s="58" t="n"/>
      <c r="BE44" s="59" t="n"/>
      <c r="BF44" s="59" t="n"/>
      <c r="BG44" s="59" t="n"/>
      <c r="BH44" s="59" t="n"/>
      <c r="BI44" s="59" t="n"/>
      <c r="BJ44" s="60" t="n"/>
    </row>
    <row r="45" ht="15" customHeight="1">
      <c r="A45" s="55" t="n"/>
      <c r="B45" s="55" t="n"/>
      <c r="C45" s="55" t="n"/>
      <c r="D45" s="55" t="n"/>
      <c r="E45" s="55" t="n"/>
      <c r="F45" s="55" t="n"/>
      <c r="G45" s="67" t="n"/>
      <c r="H45" s="67" t="n"/>
      <c r="I45" s="67" t="n"/>
      <c r="J45" s="67" t="n"/>
      <c r="K45" s="67" t="n"/>
      <c r="L45" s="67" t="n"/>
      <c r="M45" s="67" t="n"/>
      <c r="N45" s="67" t="n"/>
      <c r="O45" s="71" t="n"/>
      <c r="P45" s="48" t="n"/>
      <c r="Q45" s="48" t="n"/>
      <c r="R45" s="48" t="n"/>
      <c r="S45" s="48" t="n"/>
      <c r="T45" s="48" t="n"/>
      <c r="U45" s="49" t="n"/>
      <c r="V45" s="20" t="n"/>
      <c r="W45" s="48" t="n"/>
      <c r="X45" s="48" t="n"/>
      <c r="Y45" s="48" t="n"/>
      <c r="Z45" s="48" t="n"/>
      <c r="AA45" s="48" t="n"/>
      <c r="AB45" s="49" t="n"/>
      <c r="AC45" s="22" t="n"/>
      <c r="AD45" s="48" t="n"/>
      <c r="AE45" s="48" t="n"/>
      <c r="AF45" s="48" t="n"/>
      <c r="AG45" s="48" t="n"/>
      <c r="AH45" s="48" t="n"/>
      <c r="AI45" s="48" t="n"/>
      <c r="AJ45" s="48" t="n"/>
      <c r="AK45" s="48" t="n"/>
      <c r="AL45" s="48" t="n"/>
      <c r="AM45" s="48" t="n"/>
      <c r="AN45" s="48" t="n"/>
      <c r="AO45" s="49" t="n"/>
      <c r="AP45" s="20" t="n"/>
      <c r="AQ45" s="48" t="n"/>
      <c r="AR45" s="48" t="n"/>
      <c r="AS45" s="48" t="n"/>
      <c r="AT45" s="48" t="n"/>
      <c r="AU45" s="48" t="n"/>
      <c r="AV45" s="49" t="n"/>
      <c r="AW45" s="20" t="n"/>
      <c r="AX45" s="48" t="n"/>
      <c r="AY45" s="48" t="n"/>
      <c r="AZ45" s="48" t="n"/>
      <c r="BA45" s="48" t="n"/>
      <c r="BB45" s="48" t="n"/>
      <c r="BC45" s="49" t="n"/>
      <c r="BD45" s="20" t="n"/>
      <c r="BE45" s="48" t="n"/>
      <c r="BF45" s="48" t="n"/>
      <c r="BG45" s="48" t="n"/>
      <c r="BH45" s="48" t="n"/>
      <c r="BI45" s="48" t="n"/>
      <c r="BJ45" s="49" t="n"/>
    </row>
    <row r="46" ht="15" customHeight="1">
      <c r="A46" s="55" t="n"/>
      <c r="B46" s="55" t="n"/>
      <c r="C46" s="55" t="n"/>
      <c r="D46" s="55" t="n"/>
      <c r="E46" s="55" t="n"/>
      <c r="F46" s="55" t="n"/>
      <c r="G46" s="67" t="n"/>
      <c r="H46" s="67" t="n"/>
      <c r="I46" s="67" t="n"/>
      <c r="J46" s="67" t="n"/>
      <c r="K46" s="67" t="n"/>
      <c r="L46" s="67" t="n"/>
      <c r="M46" s="67" t="n"/>
      <c r="N46" s="67" t="n"/>
      <c r="O46" s="54" t="n"/>
      <c r="U46" s="57" t="n"/>
      <c r="V46" s="68" t="n"/>
      <c r="AB46" s="57" t="n"/>
      <c r="AC46" s="68" t="n"/>
      <c r="AO46" s="57" t="n"/>
      <c r="AP46" s="68" t="n"/>
      <c r="AV46" s="57" t="n"/>
      <c r="AW46" s="68" t="n"/>
      <c r="BC46" s="57" t="n"/>
      <c r="BD46" s="68" t="n"/>
      <c r="BJ46" s="57" t="n"/>
    </row>
    <row r="47" ht="15" customHeight="1">
      <c r="A47" s="55" t="n"/>
      <c r="B47" s="55" t="n"/>
      <c r="C47" s="55" t="n"/>
      <c r="D47" s="55" t="n"/>
      <c r="E47" s="55" t="n"/>
      <c r="F47" s="55" t="n"/>
      <c r="G47" s="67" t="n"/>
      <c r="H47" s="67" t="n"/>
      <c r="I47" s="67" t="n"/>
      <c r="J47" s="67" t="n"/>
      <c r="K47" s="67" t="n"/>
      <c r="L47" s="67" t="n"/>
      <c r="M47" s="67" t="n"/>
      <c r="N47" s="67" t="n"/>
      <c r="O47" s="61" t="n"/>
      <c r="P47" s="59" t="n"/>
      <c r="Q47" s="59" t="n"/>
      <c r="R47" s="59" t="n"/>
      <c r="S47" s="59" t="n"/>
      <c r="T47" s="59" t="n"/>
      <c r="U47" s="60" t="n"/>
      <c r="V47" s="58" t="n"/>
      <c r="W47" s="59" t="n"/>
      <c r="X47" s="59" t="n"/>
      <c r="Y47" s="59" t="n"/>
      <c r="Z47" s="59" t="n"/>
      <c r="AA47" s="59" t="n"/>
      <c r="AB47" s="60" t="n"/>
      <c r="AC47" s="58" t="n"/>
      <c r="AD47" s="59" t="n"/>
      <c r="AE47" s="59" t="n"/>
      <c r="AF47" s="59" t="n"/>
      <c r="AG47" s="59" t="n"/>
      <c r="AH47" s="59" t="n"/>
      <c r="AI47" s="59" t="n"/>
      <c r="AJ47" s="59" t="n"/>
      <c r="AK47" s="59" t="n"/>
      <c r="AL47" s="59" t="n"/>
      <c r="AM47" s="59" t="n"/>
      <c r="AN47" s="59" t="n"/>
      <c r="AO47" s="60" t="n"/>
      <c r="AP47" s="58" t="n"/>
      <c r="AQ47" s="59" t="n"/>
      <c r="AR47" s="59" t="n"/>
      <c r="AS47" s="59" t="n"/>
      <c r="AT47" s="59" t="n"/>
      <c r="AU47" s="59" t="n"/>
      <c r="AV47" s="60" t="n"/>
      <c r="AW47" s="58" t="n"/>
      <c r="AX47" s="59" t="n"/>
      <c r="AY47" s="59" t="n"/>
      <c r="AZ47" s="59" t="n"/>
      <c r="BA47" s="59" t="n"/>
      <c r="BB47" s="59" t="n"/>
      <c r="BC47" s="60" t="n"/>
      <c r="BD47" s="58" t="n"/>
      <c r="BE47" s="59" t="n"/>
      <c r="BF47" s="59" t="n"/>
      <c r="BG47" s="59" t="n"/>
      <c r="BH47" s="59" t="n"/>
      <c r="BI47" s="59" t="n"/>
      <c r="BJ47" s="60" t="n"/>
    </row>
    <row r="48" ht="15" customHeight="1">
      <c r="A48" s="55" t="n"/>
      <c r="B48" s="55" t="n"/>
      <c r="C48" s="55" t="n"/>
      <c r="D48" s="55" t="n"/>
      <c r="E48" s="55" t="n"/>
      <c r="F48" s="55" t="n"/>
      <c r="G48" s="55" t="n"/>
      <c r="H48" s="55" t="n"/>
      <c r="I48" s="55" t="n"/>
      <c r="J48" s="55" t="n"/>
      <c r="K48" s="55" t="n"/>
      <c r="L48" s="55" t="n"/>
      <c r="M48" s="55" t="n"/>
      <c r="N48" s="55" t="n"/>
      <c r="O48" s="72" t="n"/>
      <c r="V48" s="19" t="n"/>
      <c r="AC48" s="19" t="n"/>
      <c r="AP48" s="19" t="n"/>
      <c r="AW48" s="19" t="n"/>
      <c r="BD48" s="19" t="n"/>
    </row>
    <row r="49" ht="15" customHeight="1">
      <c r="A49" s="55" t="n"/>
      <c r="B49" s="55" t="n"/>
      <c r="C49" s="55" t="n"/>
      <c r="D49" s="55" t="n"/>
      <c r="E49" s="55" t="n"/>
      <c r="F49" s="55" t="n"/>
      <c r="G49" s="55" t="n"/>
      <c r="H49" s="55" t="n"/>
      <c r="I49" s="55" t="n"/>
      <c r="J49" s="55" t="n"/>
      <c r="K49" s="55" t="n"/>
      <c r="L49" s="55" t="n"/>
      <c r="M49" s="55" t="n"/>
      <c r="N49" s="55" t="n"/>
      <c r="O49" s="55" t="n"/>
    </row>
    <row r="50" ht="15" customHeight="1">
      <c r="A50" s="55" t="n"/>
      <c r="B50" s="55" t="n"/>
      <c r="C50" s="55" t="n"/>
      <c r="D50" s="55" t="n"/>
      <c r="E50" s="55" t="n"/>
      <c r="F50" s="55" t="n"/>
      <c r="G50" s="55" t="n"/>
      <c r="H50" s="55" t="n"/>
      <c r="I50" s="55" t="n"/>
      <c r="J50" s="55" t="n"/>
      <c r="K50" s="55" t="n"/>
      <c r="L50" s="55" t="n"/>
      <c r="M50" s="55" t="n"/>
      <c r="N50" s="55" t="n"/>
      <c r="O50" s="55" t="n"/>
    </row>
    <row r="51">
      <c r="A51" s="55" t="n"/>
      <c r="B51" s="55" t="n"/>
      <c r="C51" s="55" t="n"/>
      <c r="D51" s="55" t="n"/>
      <c r="E51" s="55" t="n"/>
      <c r="F51" s="55" t="n"/>
      <c r="G51" s="55" t="n"/>
      <c r="H51" s="55" t="n"/>
      <c r="I51" s="55" t="n"/>
      <c r="J51" s="55" t="n"/>
      <c r="K51" s="55" t="n"/>
      <c r="L51" s="55" t="n"/>
      <c r="M51" s="55" t="n"/>
      <c r="N51" s="55" t="n"/>
      <c r="O51" s="55" t="n"/>
    </row>
    <row r="52" ht="15" customHeight="1">
      <c r="A52" s="55" t="n"/>
      <c r="B52" s="55" t="n"/>
      <c r="C52" s="55" t="n"/>
      <c r="D52" s="55" t="n"/>
      <c r="E52" s="55" t="n"/>
      <c r="F52" s="55" t="n"/>
      <c r="G52" s="55" t="n"/>
      <c r="H52" s="55" t="n"/>
      <c r="I52" s="55" t="n"/>
      <c r="J52" s="55" t="n"/>
      <c r="K52" s="55" t="n"/>
      <c r="L52" s="55" t="n"/>
      <c r="M52" s="55" t="n"/>
      <c r="N52" s="55" t="n"/>
      <c r="O52" s="55" t="n"/>
      <c r="BH52" s="8" t="n"/>
      <c r="BI52" s="8" t="n"/>
      <c r="BJ52" s="8" t="n"/>
      <c r="BK52" s="8" t="n"/>
      <c r="BL52" s="8" t="n"/>
      <c r="BM52" s="9" t="n"/>
      <c r="BN52" s="9" t="n"/>
      <c r="BO52" s="9" t="n"/>
      <c r="BP52" s="9" t="n"/>
      <c r="BQ52" s="9" t="n"/>
      <c r="BR52" s="9" t="n"/>
    </row>
    <row r="53">
      <c r="A53" s="55" t="n"/>
      <c r="B53" s="55" t="n"/>
      <c r="C53" s="55" t="n"/>
      <c r="D53" s="55" t="n"/>
      <c r="E53" s="55" t="n"/>
      <c r="F53" s="55" t="n"/>
      <c r="G53" s="55" t="n"/>
      <c r="H53" s="55" t="n"/>
      <c r="I53" s="55" t="n"/>
      <c r="J53" s="55" t="n"/>
      <c r="K53" s="55" t="n"/>
      <c r="L53" s="55" t="n"/>
      <c r="M53" s="55" t="n"/>
      <c r="N53" s="55" t="n"/>
      <c r="O53" s="55" t="n"/>
    </row>
    <row r="54" ht="15" customHeight="1">
      <c r="A54" s="55" t="n"/>
      <c r="B54" s="55" t="n"/>
      <c r="C54" s="55" t="n"/>
      <c r="D54" s="55" t="n"/>
      <c r="E54" s="55" t="n"/>
      <c r="F54" s="55" t="n"/>
      <c r="G54" s="55" t="n"/>
      <c r="H54" s="55" t="n"/>
      <c r="I54" s="55" t="n"/>
      <c r="J54" s="55" t="n"/>
      <c r="K54" s="55" t="n"/>
      <c r="L54" s="55" t="n"/>
      <c r="M54" s="55" t="n"/>
      <c r="N54" s="55" t="n"/>
      <c r="O54" s="55" t="n"/>
      <c r="AA54" s="73" t="n"/>
      <c r="AB54" s="73" t="n"/>
      <c r="AC54" s="73" t="n"/>
      <c r="AD54" s="73" t="n"/>
      <c r="AE54" s="73" t="n"/>
      <c r="AF54" s="73" t="n"/>
      <c r="AG54" s="73" t="n"/>
      <c r="AH54" s="73" t="n"/>
      <c r="AI54" s="73" t="n"/>
      <c r="AJ54" s="73" t="n"/>
      <c r="AK54" s="73" t="n"/>
      <c r="AL54" s="73" t="n"/>
      <c r="AM54" s="73" t="n"/>
      <c r="AN54" s="73" t="n"/>
      <c r="AO54" s="73" t="n"/>
      <c r="AP54" s="11" t="n"/>
      <c r="AQ54" s="11" t="n"/>
      <c r="AR54" s="11" t="n"/>
      <c r="AW54" s="3" t="n"/>
      <c r="AX54" s="3" t="n"/>
      <c r="AY54" s="3" t="n"/>
      <c r="AZ54" s="3" t="n"/>
      <c r="BA54" s="3" t="n"/>
    </row>
  </sheetData>
  <mergeCells count="54">
    <mergeCell ref="AW42:BC44"/>
    <mergeCell ref="V45:AB47"/>
    <mergeCell ref="BO2:BZ2"/>
    <mergeCell ref="AP45:AV47"/>
    <mergeCell ref="AW45:BC47"/>
    <mergeCell ref="AP48:AV50"/>
    <mergeCell ref="O42:U44"/>
    <mergeCell ref="AF27:AS29"/>
    <mergeCell ref="BC3:BN3"/>
    <mergeCell ref="AT27:BG29"/>
    <mergeCell ref="BO3:BZ3"/>
    <mergeCell ref="BD45:BJ47"/>
    <mergeCell ref="AC45:AO47"/>
    <mergeCell ref="O48:U50"/>
    <mergeCell ref="Z5:BB6"/>
    <mergeCell ref="AF24:AS26"/>
    <mergeCell ref="BC5:BN5"/>
    <mergeCell ref="N1:Y5"/>
    <mergeCell ref="AC48:AO50"/>
    <mergeCell ref="AT24:BG26"/>
    <mergeCell ref="BO5:BZ5"/>
    <mergeCell ref="R24:AE26"/>
    <mergeCell ref="BK36:BZ36"/>
    <mergeCell ref="V42:AB44"/>
    <mergeCell ref="Z1:BB2"/>
    <mergeCell ref="BC4:BN4"/>
    <mergeCell ref="N6:Y6"/>
    <mergeCell ref="R21:AE23"/>
    <mergeCell ref="AP42:AV44"/>
    <mergeCell ref="A6:M6"/>
    <mergeCell ref="V48:AB50"/>
    <mergeCell ref="BC1:BN1"/>
    <mergeCell ref="O39:U41"/>
    <mergeCell ref="AW39:BC41"/>
    <mergeCell ref="AW48:BC50"/>
    <mergeCell ref="AP39:AV41"/>
    <mergeCell ref="BO1:BZ1"/>
    <mergeCell ref="R27:AE29"/>
    <mergeCell ref="BO4:BZ4"/>
    <mergeCell ref="O45:U47"/>
    <mergeCell ref="A1:M5"/>
    <mergeCell ref="BD42:BJ44"/>
    <mergeCell ref="AC42:AO44"/>
    <mergeCell ref="BC6:BN6"/>
    <mergeCell ref="AF21:AS23"/>
    <mergeCell ref="BC2:BN2"/>
    <mergeCell ref="AC39:AO41"/>
    <mergeCell ref="BP43:BV43"/>
    <mergeCell ref="BO6:BZ6"/>
    <mergeCell ref="BD48:BJ50"/>
    <mergeCell ref="V39:AB41"/>
    <mergeCell ref="AT21:BG23"/>
    <mergeCell ref="BD39:BJ41"/>
    <mergeCell ref="Z3:BB4"/>
  </mergeCells>
  <printOptions horizontalCentered="1" verticalCentered="1"/>
  <pageMargins left="0.1968503937007874" right="0.1968503937007874" top="0.3937007874015748" bottom="0.3937007874015748" header="0.03937007874015748" footer="0.03937007874015748"/>
  <pageSetup orientation="landscape" scale="5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106"/>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13" customWidth="1" min="17" max="17"/>
    <col width="13" customWidth="1" min="20" max="20"/>
    <col width="13" customWidth="1" min="22" max="22"/>
    <col width="13" customWidth="1" min="23" max="23"/>
    <col width="13" customWidth="1" min="24" max="24"/>
    <col width="13" customWidth="1" min="29" max="29"/>
    <col width="13" customWidth="1" min="31" max="31"/>
    <col width="13" customWidth="1" min="32" max="32"/>
    <col width="13" customWidth="1" min="33" max="33"/>
    <col width="13" customWidth="1" min="38" max="38"/>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9" max="49"/>
    <col width="13" customWidth="1" min="51" max="51"/>
    <col width="13" customWidth="1" min="52" max="52"/>
    <col width="13" customWidth="1" min="53" max="53"/>
    <col width="13" customWidth="1" min="54" max="54"/>
    <col width="13" customWidth="1" min="55" max="55"/>
    <col width="13" customWidth="1" min="58" max="58"/>
    <col width="13" customWidth="1" min="59" max="59"/>
    <col width="13" customWidth="1" min="60" max="60"/>
    <col width="13" customWidth="1" min="61" max="61"/>
    <col width="13" customWidth="1" min="62" max="62"/>
    <col width="13" customWidth="1" min="64" max="64"/>
    <col width="13" customWidth="1" min="68" max="68"/>
    <col width="13" customWidth="1" min="69" max="69"/>
    <col width="13" customWidth="1" min="70" max="70"/>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4" max="84"/>
    <col width="13" customWidth="1" min="85" max="85"/>
    <col width="13" customWidth="1" min="86" max="86"/>
    <col width="13" customWidth="1" min="87" max="87"/>
    <col width="13" customWidth="1" min="89" max="89"/>
    <col width="13" customWidth="1" min="90" max="90"/>
    <col width="13" customWidth="1" min="91" max="91"/>
    <col width="13" customWidth="1" min="92" max="92"/>
    <col width="13" customWidth="1" min="93" max="93"/>
    <col width="13" customWidth="1" min="94" max="94"/>
    <col width="13" customWidth="1" min="96" max="96"/>
    <col width="13" customWidth="1" min="97" max="97"/>
    <col width="13" customWidth="1" min="99" max="99"/>
    <col width="13" customWidth="1" min="105" max="105"/>
  </cols>
  <sheetData>
    <row r="1" ht="29.25" customHeight="1">
      <c r="A1" s="74" t="n"/>
      <c r="B1" s="75" t="n"/>
      <c r="C1" s="74">
        <f>PORTADA!Z1</f>
        <v/>
      </c>
      <c r="D1" s="65" t="n"/>
      <c r="E1" s="65" t="n"/>
      <c r="F1" s="65" t="n"/>
      <c r="G1" s="65" t="n"/>
      <c r="H1" s="65" t="n"/>
      <c r="I1" s="65" t="n"/>
      <c r="J1" s="65" t="n"/>
      <c r="K1" s="65" t="n"/>
      <c r="L1" s="66" t="n"/>
      <c r="M1" s="76" t="inlineStr">
        <is>
          <t>CODIGO:</t>
        </is>
      </c>
      <c r="N1" s="77">
        <f>PORTADA!BO1</f>
        <v/>
      </c>
      <c r="O1" s="66" t="n"/>
    </row>
    <row r="2" ht="29.25" customHeight="1">
      <c r="A2" s="78" t="n"/>
      <c r="B2" s="78" t="n"/>
      <c r="C2" s="74">
        <f>PORTADA!Z3</f>
        <v/>
      </c>
      <c r="D2" s="45" t="n"/>
      <c r="E2" s="45" t="n"/>
      <c r="F2" s="45" t="n"/>
      <c r="G2" s="45" t="n"/>
      <c r="H2" s="45" t="n"/>
      <c r="I2" s="45" t="n"/>
      <c r="J2" s="45" t="n"/>
      <c r="K2" s="45" t="n"/>
      <c r="L2" s="46" t="n"/>
      <c r="M2" s="76" t="inlineStr">
        <is>
          <t>REVISION:</t>
        </is>
      </c>
      <c r="N2" s="77">
        <f>PORTADA!BO2</f>
        <v/>
      </c>
      <c r="O2" s="66" t="n"/>
    </row>
    <row r="3" ht="29.25" customHeight="1">
      <c r="A3" s="78" t="n"/>
      <c r="B3" s="78" t="n"/>
      <c r="C3" s="61" t="n"/>
      <c r="D3" s="62" t="n"/>
      <c r="E3" s="62" t="n"/>
      <c r="F3" s="62" t="n"/>
      <c r="G3" s="62" t="n"/>
      <c r="H3" s="62" t="n"/>
      <c r="I3" s="62" t="n"/>
      <c r="J3" s="62" t="n"/>
      <c r="K3" s="62" t="n"/>
      <c r="L3" s="63" t="n"/>
      <c r="M3" s="76" t="inlineStr">
        <is>
          <t>FECHA:</t>
        </is>
      </c>
      <c r="N3" s="77">
        <f>PORTADA!BO3</f>
        <v/>
      </c>
      <c r="O3" s="66" t="n"/>
    </row>
    <row r="4" ht="29.25" customHeight="1">
      <c r="A4" s="78" t="n"/>
      <c r="B4" s="78" t="n"/>
      <c r="C4" s="74">
        <f>PORTADA!Z5</f>
        <v/>
      </c>
      <c r="D4" s="45" t="n"/>
      <c r="E4" s="45" t="n"/>
      <c r="F4" s="45" t="n"/>
      <c r="G4" s="45" t="n"/>
      <c r="H4" s="45" t="n"/>
      <c r="I4" s="45" t="n"/>
      <c r="J4" s="45" t="n"/>
      <c r="K4" s="45" t="n"/>
      <c r="L4" s="46" t="n"/>
      <c r="M4" s="76" t="inlineStr">
        <is>
          <t>ELABORO:</t>
        </is>
      </c>
      <c r="N4" s="77">
        <f>PORTADA!BO4</f>
        <v/>
      </c>
      <c r="O4" s="66" t="n"/>
    </row>
    <row r="5" ht="29.25" customHeight="1">
      <c r="A5" s="79" t="n"/>
      <c r="B5" s="79" t="n"/>
      <c r="C5" s="54" t="n"/>
      <c r="D5" s="55" t="n"/>
      <c r="E5" s="55" t="n"/>
      <c r="F5" s="55" t="n"/>
      <c r="G5" s="55" t="n"/>
      <c r="H5" s="55" t="n"/>
      <c r="I5" s="55" t="n"/>
      <c r="J5" s="55" t="n"/>
      <c r="K5" s="55" t="n"/>
      <c r="L5" s="56" t="n"/>
      <c r="M5" s="76" t="inlineStr">
        <is>
          <t xml:space="preserve">REVISO:      </t>
        </is>
      </c>
      <c r="N5" s="77">
        <f>PORTADA!BO5</f>
        <v/>
      </c>
      <c r="O5" s="66" t="n"/>
    </row>
    <row r="6" ht="29.25" customHeight="1">
      <c r="A6" s="76" t="inlineStr">
        <is>
          <t>PROYECTO:</t>
        </is>
      </c>
      <c r="B6" s="74">
        <f>PORTADA!N6</f>
        <v/>
      </c>
      <c r="C6" s="61" t="n"/>
      <c r="D6" s="62" t="n"/>
      <c r="E6" s="62" t="n"/>
      <c r="F6" s="62" t="n"/>
      <c r="G6" s="62" t="n"/>
      <c r="H6" s="62" t="n"/>
      <c r="I6" s="62" t="n"/>
      <c r="J6" s="62" t="n"/>
      <c r="K6" s="62" t="n"/>
      <c r="L6" s="63" t="n"/>
      <c r="M6" s="76" t="inlineStr">
        <is>
          <t>APROBO:</t>
        </is>
      </c>
      <c r="N6" s="77">
        <f>PORTADA!BO6</f>
        <v/>
      </c>
      <c r="O6" s="66" t="n"/>
    </row>
    <row r="7" ht="25" customHeight="1">
      <c r="A7" s="80" t="n">
        <v>1</v>
      </c>
      <c r="B7" s="80" t="n">
        <v>2</v>
      </c>
      <c r="C7" s="80" t="n">
        <v>3</v>
      </c>
      <c r="D7" s="80" t="n">
        <v>4</v>
      </c>
      <c r="E7" s="80" t="n">
        <v>5</v>
      </c>
      <c r="F7" s="80" t="n">
        <v>6</v>
      </c>
      <c r="G7" s="80" t="n">
        <v>7</v>
      </c>
      <c r="H7" s="80" t="n">
        <v>8</v>
      </c>
      <c r="I7" s="80" t="n">
        <v>9</v>
      </c>
      <c r="J7" s="80" t="n">
        <v>10</v>
      </c>
      <c r="K7" s="80" t="n">
        <v>11</v>
      </c>
      <c r="L7" s="80" t="n">
        <v>12</v>
      </c>
      <c r="M7" s="80" t="n">
        <v>13</v>
      </c>
      <c r="N7" s="80" t="n">
        <v>14</v>
      </c>
      <c r="O7" s="80" t="n">
        <v>15</v>
      </c>
    </row>
    <row r="9" ht="150" customHeight="1">
      <c r="A9" s="81" t="inlineStr">
        <is>
          <t>Hoja de datos: etapa de filtración (prefiltro MERV 8 + filtro final MERV 13-14)</t>
        </is>
      </c>
    </row>
    <row r="10" ht="50" customHeight="1">
      <c r="A10" s="82" t="inlineStr">
        <is>
          <t>Campo</t>
        </is>
      </c>
      <c r="B10" s="82" t="n"/>
      <c r="C10" s="82" t="n"/>
      <c r="D10" s="82" t="n"/>
      <c r="E10" s="82" t="n"/>
      <c r="F10" s="82" t="n"/>
      <c r="G10" s="82" t="n"/>
      <c r="H10" s="82" t="n"/>
      <c r="I10" s="82" t="inlineStr">
        <is>
          <t>Valor</t>
        </is>
      </c>
      <c r="J10" s="82" t="n"/>
      <c r="K10" s="82" t="n"/>
      <c r="L10" s="82" t="n"/>
      <c r="M10" s="82" t="n"/>
      <c r="N10" s="82" t="n"/>
      <c r="O10" s="82" t="n"/>
    </row>
    <row r="11" ht="50" customHeight="1">
      <c r="A11" s="83" t="inlineStr">
        <is>
          <t>Código</t>
        </is>
      </c>
      <c r="B11" s="84" t="n"/>
      <c r="C11" s="84" t="n"/>
      <c r="D11" s="84" t="n"/>
      <c r="E11" s="84" t="n"/>
      <c r="F11" s="84" t="n"/>
      <c r="G11" s="84" t="n"/>
      <c r="H11" s="84" t="n"/>
      <c r="I11" s="83" t="inlineStr">
        <is>
          <t>HD-FILT-001</t>
        </is>
      </c>
      <c r="J11" s="84" t="n"/>
      <c r="K11" s="84" t="n"/>
      <c r="L11" s="84" t="n"/>
      <c r="M11" s="84" t="n"/>
      <c r="N11" s="84" t="n"/>
      <c r="O11" s="84" t="n"/>
    </row>
    <row r="12" ht="50" customHeight="1">
      <c r="A12" s="83" t="inlineStr">
        <is>
          <t>Revisión</t>
        </is>
      </c>
      <c r="B12" s="84" t="n"/>
      <c r="C12" s="84" t="n"/>
      <c r="D12" s="84" t="n"/>
      <c r="E12" s="84" t="n"/>
      <c r="F12" s="84" t="n"/>
      <c r="G12" s="84" t="n"/>
      <c r="H12" s="84" t="n"/>
      <c r="I12" s="83" t="inlineStr">
        <is>
          <t>0</t>
        </is>
      </c>
      <c r="J12" s="84" t="n"/>
      <c r="K12" s="84" t="n"/>
      <c r="L12" s="84" t="n"/>
      <c r="M12" s="84" t="n"/>
      <c r="N12" s="84" t="n"/>
      <c r="O12" s="84" t="n"/>
    </row>
    <row r="13" ht="50" customHeight="1">
      <c r="A13" s="83" t="inlineStr">
        <is>
          <t>Fecha</t>
        </is>
      </c>
      <c r="B13" s="84" t="n"/>
      <c r="C13" s="84" t="n"/>
      <c r="D13" s="84" t="n"/>
      <c r="E13" s="84" t="n"/>
      <c r="F13" s="84" t="n"/>
      <c r="G13" s="84" t="n"/>
      <c r="H13" s="84" t="n"/>
      <c r="I13" s="83" t="inlineStr">
        <is>
          <t>2026-07-27</t>
        </is>
      </c>
      <c r="J13" s="84" t="n"/>
      <c r="K13" s="84" t="n"/>
      <c r="L13" s="84" t="n"/>
      <c r="M13" s="84" t="n"/>
      <c r="N13" s="84" t="n"/>
      <c r="O13" s="84" t="n"/>
    </row>
    <row r="14" ht="100" customHeight="1">
      <c r="A14" s="83" t="inlineStr">
        <is>
          <t>Proyecto</t>
        </is>
      </c>
      <c r="B14" s="84" t="n"/>
      <c r="C14" s="84" t="n"/>
      <c r="D14" s="84" t="n"/>
      <c r="E14" s="84" t="n"/>
      <c r="F14" s="84" t="n"/>
      <c r="G14" s="84" t="n"/>
      <c r="H14" s="84" t="n"/>
      <c r="I14" s="83" t="inlineStr">
        <is>
          <t>P2437-HV-INF-001 — BRINSA, laboratorio de análisis industrial, Cajicá</t>
        </is>
      </c>
      <c r="J14" s="84" t="n"/>
      <c r="K14" s="84" t="n"/>
      <c r="L14" s="84" t="n"/>
      <c r="M14" s="84" t="n"/>
      <c r="N14" s="84" t="n"/>
      <c r="O14" s="84" t="n"/>
    </row>
    <row r="15" ht="150" customHeight="1">
      <c r="A15" s="83" t="inlineStr">
        <is>
          <t>Etiqueta de equipo</t>
        </is>
      </c>
      <c r="B15" s="84" t="n"/>
      <c r="C15" s="84" t="n"/>
      <c r="D15" s="84" t="n"/>
      <c r="E15" s="84" t="n"/>
      <c r="F15" s="84" t="n"/>
      <c r="G15" s="84" t="n"/>
      <c r="H15" s="84" t="n"/>
      <c r="I15" s="83" t="inlineStr">
        <is>
          <t>FILT-001 (banco de filtración de la impulsión, alojado en la cubierta intemperie)</t>
        </is>
      </c>
      <c r="J15" s="84" t="n"/>
      <c r="K15" s="84" t="n"/>
      <c r="L15" s="84" t="n"/>
      <c r="M15" s="84" t="n"/>
      <c r="N15" s="84" t="n"/>
      <c r="O15" s="84" t="n"/>
    </row>
    <row r="16" ht="50" customHeight="1"/>
    <row r="17" ht="50" customHeight="1">
      <c r="A17" s="81" t="inlineStr">
        <is>
          <t>1. Servicio</t>
        </is>
      </c>
    </row>
    <row r="18" ht="400" customHeight="1">
      <c r="A18" s="85" t="inlineStr">
        <is>
          <t>1.1. Filtración del aire exterior de impulsión (3 840 m³/h) para exclusión de polvo, insectos y objetos extraños, aguas arriba del laboratorio. No es un servicio de biocontención: no se requiere HEPA. Ambiente exterior corrosivo (atmósfera clorada de planta de hipoclorito de calcio, HR media 84 %).</t>
        </is>
      </c>
    </row>
    <row r="19" ht="50" customHeight="1"/>
    <row r="20" ht="150" customHeight="1">
      <c r="A20" s="81" t="inlineStr">
        <is>
          <t>2. Especificación de eficiencia</t>
        </is>
      </c>
    </row>
    <row r="21" ht="100" customHeight="1">
      <c r="A21" s="86" t="inlineStr">
        <is>
          <t>Tabla 1. Clases de eficiencia exigidas (consulta 2026-07-23).</t>
        </is>
      </c>
    </row>
    <row r="22" ht="100" customHeight="1">
      <c r="A22" s="82" t="inlineStr">
        <is>
          <t>Etapa</t>
        </is>
      </c>
      <c r="B22" s="82" t="n"/>
      <c r="C22" s="82" t="n"/>
      <c r="D22" s="82" t="inlineStr">
        <is>
          <t>ASHRAE 52.2</t>
        </is>
      </c>
      <c r="E22" s="82" t="n"/>
      <c r="F22" s="82" t="n"/>
      <c r="G22" s="82" t="inlineStr">
        <is>
          <t>ISO 16890</t>
        </is>
      </c>
      <c r="H22" s="82" t="n"/>
      <c r="I22" s="82" t="n"/>
      <c r="J22" s="82" t="inlineStr">
        <is>
          <t>EN 779:2012 (referencia)</t>
        </is>
      </c>
      <c r="K22" s="82" t="n"/>
      <c r="L22" s="82" t="n"/>
      <c r="M22" s="82" t="inlineStr">
        <is>
          <t>Eficiencia mínima por rango</t>
        </is>
      </c>
      <c r="N22" s="82" t="n"/>
      <c r="O22" s="82" t="n"/>
    </row>
    <row r="23" ht="200" customHeight="1">
      <c r="A23" s="83" t="inlineStr">
        <is>
          <t>Etapa 1 (prefiltro)</t>
        </is>
      </c>
      <c r="B23" s="84" t="n"/>
      <c r="C23" s="84" t="n"/>
      <c r="D23" s="83" t="inlineStr">
        <is>
          <t>MERV 8</t>
        </is>
      </c>
      <c r="E23" s="84" t="n"/>
      <c r="F23" s="84" t="n"/>
      <c r="G23" s="83" t="inlineStr">
        <is>
          <t>ISO Coarse / ePM10 (dato típico de equivalencia)</t>
        </is>
      </c>
      <c r="H23" s="84" t="n"/>
      <c r="I23" s="84" t="n"/>
      <c r="J23" s="83" t="inlineStr">
        <is>
          <t>G4</t>
        </is>
      </c>
      <c r="K23" s="84" t="n"/>
      <c r="L23" s="84" t="n"/>
      <c r="M23" s="83" t="inlineStr">
        <is>
          <t>Fracción gruesa: polvo, fibras, insectos</t>
        </is>
      </c>
      <c r="N23" s="84" t="n"/>
      <c r="O23" s="84" t="n"/>
    </row>
    <row r="24" ht="200" customHeight="1">
      <c r="A24" s="83" t="inlineStr">
        <is>
          <t>Etapa 2 (filtro final)</t>
        </is>
      </c>
      <c r="B24" s="84" t="n"/>
      <c r="C24" s="84" t="n"/>
      <c r="D24" s="83" t="inlineStr">
        <is>
          <t>MERV 13-14</t>
        </is>
      </c>
      <c r="E24" s="84" t="n"/>
      <c r="F24" s="84" t="n"/>
      <c r="G24" s="83" t="inlineStr">
        <is>
          <t>ePM1 50-70 %</t>
        </is>
      </c>
      <c r="H24" s="84" t="n"/>
      <c r="I24" s="84" t="n"/>
      <c r="J24" s="83" t="inlineStr">
        <is>
          <t>F7-F8</t>
        </is>
      </c>
      <c r="K24" s="84" t="n"/>
      <c r="L24" s="84" t="n"/>
      <c r="M24" s="83" t="inlineStr">
        <is>
          <t>MERV 13: E2 ≥ 90 %, E3 ≥ 90 %; MERV 14 añade E1 ≥ 75 %</t>
        </is>
      </c>
      <c r="N24" s="84" t="n"/>
      <c r="O24" s="84" t="n"/>
    </row>
    <row r="25" ht="50" customHeight="1"/>
    <row r="26" ht="500" customHeight="1">
      <c r="A26" s="87" t="inlineStr">
        <is>
          <t>Fuentes: ANSI/ASHRAE 52.2-2017 (PDF) (https://www.ashrae.org/File%20Library/Technical%20Resources/COVID-19/52_2_2017_COVID-19_20200401.pdf); equivalencias MERV ↔ ePM1 confirmadas en la ficha del fabricante (Camfil Durafil ES2 (PDF) (https://cdn.lsicloud.net/pandhwhsal/documents/855080-003.pdf): MERV 13 → ePM1 60 %, MERV 14 → ePM1 70 %). Se exige informe de ensayo según la norma citada.</t>
        </is>
      </c>
    </row>
    <row r="27" ht="350" customHeight="1">
      <c r="A27" s="85" t="inlineStr">
        <is>
          <t>2.1. Justificación de la clase: MERV 13-14 garantiza E3 ≥ 90 % (polen, polvo grueso, esporas) y E2 ≥ 90 % (polvo fino), con amplio margen sobre el objetivo funcional. MERV 14 se prefiere sobre MERV 13 por la carga de polvo de la planta de hipoclorito.</t>
        </is>
      </c>
    </row>
    <row r="28" ht="50" customHeight="1"/>
    <row r="29" ht="150" customHeight="1">
      <c r="A29" s="81" t="inlineStr">
        <is>
          <t>3. Caídas de presión de diseño</t>
        </is>
      </c>
    </row>
    <row r="30" ht="150" customHeight="1">
      <c r="A30" s="86" t="inlineStr">
        <is>
          <t>Tabla 2. ΔP de la etapa final MERV 13-14 (valores congelados de la memoria de cálculo).</t>
        </is>
      </c>
    </row>
    <row r="31" ht="150" customHeight="1">
      <c r="A31" s="82" t="inlineStr">
        <is>
          <t>Condición</t>
        </is>
      </c>
      <c r="B31" s="82" t="n"/>
      <c r="C31" s="82" t="n"/>
      <c r="D31" s="82" t="n"/>
      <c r="E31" s="82" t="n"/>
      <c r="F31" s="82" t="inlineStr">
        <is>
          <t>Estándar de catálogo (ρ = 1.2 kg/m³)</t>
        </is>
      </c>
      <c r="G31" s="82" t="n"/>
      <c r="H31" s="82" t="n"/>
      <c r="I31" s="82" t="n"/>
      <c r="J31" s="82" t="n"/>
      <c r="K31" s="82" t="inlineStr">
        <is>
          <t>En el sitio (ρ = 0.88 kg/m³, k = 0.733)</t>
        </is>
      </c>
      <c r="L31" s="82" t="n"/>
      <c r="M31" s="82" t="n"/>
      <c r="N31" s="82" t="n"/>
      <c r="O31" s="82" t="n"/>
    </row>
    <row r="32" ht="50" customHeight="1">
      <c r="A32" s="83" t="inlineStr">
        <is>
          <t>Filtro limpio</t>
        </is>
      </c>
      <c r="B32" s="84" t="n"/>
      <c r="C32" s="84" t="n"/>
      <c r="D32" s="84" t="n"/>
      <c r="E32" s="84" t="n"/>
      <c r="F32" s="83" t="inlineStr">
        <is>
          <t>80 Pa</t>
        </is>
      </c>
      <c r="G32" s="84" t="n"/>
      <c r="H32" s="84" t="n"/>
      <c r="I32" s="84" t="n"/>
      <c r="J32" s="84" t="n"/>
      <c r="K32" s="83" t="inlineStr">
        <is>
          <t>59 Pa</t>
        </is>
      </c>
      <c r="L32" s="84" t="n"/>
      <c r="M32" s="84" t="n"/>
      <c r="N32" s="84" t="n"/>
      <c r="O32" s="84" t="n"/>
    </row>
    <row r="33" ht="150" customHeight="1">
      <c r="A33" s="83" t="inlineStr">
        <is>
          <t>Filtro cargado (final de diseño)</t>
        </is>
      </c>
      <c r="B33" s="84" t="n"/>
      <c r="C33" s="84" t="n"/>
      <c r="D33" s="84" t="n"/>
      <c r="E33" s="84" t="n"/>
      <c r="F33" s="83" t="inlineStr">
        <is>
          <t>210 Pa</t>
        </is>
      </c>
      <c r="G33" s="84" t="n"/>
      <c r="H33" s="84" t="n"/>
      <c r="I33" s="84" t="n"/>
      <c r="J33" s="84" t="n"/>
      <c r="K33" s="83" t="inlineStr">
        <is>
          <t>154 Pa</t>
        </is>
      </c>
      <c r="L33" s="84" t="n"/>
      <c r="M33" s="84" t="n"/>
      <c r="N33" s="84" t="n"/>
      <c r="O33" s="84" t="n"/>
    </row>
    <row r="34" ht="50" customHeight="1"/>
    <row r="35" ht="600" customHeight="1">
      <c r="A35" s="85" t="inlineStr">
        <is>
          <t>3.1. El ΔP final de diseño de 210 Pa estándar es conservador frente a los límites de catálogo (Camfil: 375 Pa máx. con criterio «cambiar al duplicar ΔP inicial»; AAF: 500 Pa máx.; clase F de EN 779: 450 Pa recomendados — fuentes en Tabla 4), lo que alarga la vida útil real del elemento. El prefiltro MERV 8 aporta 50-75 Pa limpio y 250 Pa final (catálogo; Camfil 30/30 (PDF) (https://cdn.lsicloud.net/pandhwhsal/documents/406331002-SPS.pdf), consulta 2026-07-23).</t>
        </is>
      </c>
    </row>
    <row r="36" ht="500" customHeight="1">
      <c r="A36" s="85" t="inlineStr">
        <is>
          <t>3.2. Velocidad frontal: con un módulo 24×24 in (610×610 mm) a 3 840 m³/h resulta ≈2.87 m/s (565 fpm), ligeramente superior al punto de catálogo de 500 fpm (2.54 m/s); el ΔP real será ~13-15 % superior al tabulado (dato típico, escalado aproximadamente cuadrático), efecto parcialmente compensado por la corrección de densidad del sitio. Verificar con la curva del fabricante seleccionado.</t>
        </is>
      </c>
    </row>
    <row r="37" ht="50" customHeight="1"/>
    <row r="38" ht="150" customHeight="1">
      <c r="A38" s="81" t="inlineStr">
        <is>
          <t>4. Dimensiones y construcción</t>
        </is>
      </c>
    </row>
    <row r="39" ht="50" customHeight="1">
      <c r="A39" s="86" t="inlineStr">
        <is>
          <t>Tabla 3. Requisitos de construcción.</t>
        </is>
      </c>
    </row>
    <row r="40" ht="50" customHeight="1">
      <c r="A40" s="82" t="inlineStr">
        <is>
          <t>Característica</t>
        </is>
      </c>
      <c r="B40" s="82" t="n"/>
      <c r="C40" s="82" t="n"/>
      <c r="D40" s="82" t="n"/>
      <c r="E40" s="82" t="n"/>
      <c r="F40" s="82" t="n"/>
      <c r="G40" s="82" t="n"/>
      <c r="H40" s="82" t="n"/>
      <c r="I40" s="82" t="inlineStr">
        <is>
          <t>Especificación</t>
        </is>
      </c>
      <c r="J40" s="82" t="n"/>
      <c r="K40" s="82" t="n"/>
      <c r="L40" s="82" t="n"/>
      <c r="M40" s="82" t="n"/>
      <c r="N40" s="82" t="n"/>
      <c r="O40" s="82" t="n"/>
    </row>
    <row r="41" ht="350" customHeight="1">
      <c r="A41" s="83" t="inlineStr">
        <is>
          <t>Dimensiones</t>
        </is>
      </c>
      <c r="B41" s="84" t="n"/>
      <c r="C41" s="84" t="n"/>
      <c r="D41" s="84" t="n"/>
      <c r="E41" s="84" t="n"/>
      <c r="F41" s="84" t="n"/>
      <c r="G41" s="84" t="n"/>
      <c r="H41" s="84" t="n"/>
      <c r="I41" s="83" t="inlineStr">
        <is>
          <t>Módulo pleno 24×24 in (610×610 mm); profundidad según línea V-bank (292 mm dato típico)</t>
        </is>
      </c>
      <c r="J41" s="84" t="n"/>
      <c r="K41" s="84" t="n"/>
      <c r="L41" s="84" t="n"/>
      <c r="M41" s="84" t="n"/>
      <c r="N41" s="84" t="n"/>
      <c r="O41" s="84" t="n"/>
    </row>
    <row r="42" ht="150" customHeight="1">
      <c r="A42" s="83" t="inlineStr">
        <is>
          <t>Tipo etapa final</t>
        </is>
      </c>
      <c r="B42" s="84" t="n"/>
      <c r="C42" s="84" t="n"/>
      <c r="D42" s="84" t="n"/>
      <c r="E42" s="84" t="n"/>
      <c r="F42" s="84" t="n"/>
      <c r="G42" s="84" t="n"/>
      <c r="H42" s="84" t="n"/>
      <c r="I42" s="83" t="inlineStr">
        <is>
          <t>V-bank / casete compacto de minipleat</t>
        </is>
      </c>
      <c r="J42" s="84" t="n"/>
      <c r="K42" s="84" t="n"/>
      <c r="L42" s="84" t="n"/>
      <c r="M42" s="84" t="n"/>
      <c r="N42" s="84" t="n"/>
      <c r="O42" s="84" t="n"/>
    </row>
    <row r="43" ht="350" customHeight="1">
      <c r="A43" s="83" t="inlineStr">
        <is>
          <t>Marco del filtro</t>
        </is>
      </c>
      <c r="B43" s="84" t="n"/>
      <c r="C43" s="84" t="n"/>
      <c r="D43" s="84" t="n"/>
      <c r="E43" s="84" t="n"/>
      <c r="F43" s="84" t="n"/>
      <c r="G43" s="84" t="n"/>
      <c r="H43" s="84" t="n"/>
      <c r="I43" s="83" t="inlineStr">
        <is>
          <t>100 % plástico (ABS/poliestireno/HIPS), sin componentes metálicos; paquete sellado con poliuretano</t>
        </is>
      </c>
      <c r="J43" s="84" t="n"/>
      <c r="K43" s="84" t="n"/>
      <c r="L43" s="84" t="n"/>
      <c r="M43" s="84" t="n"/>
      <c r="N43" s="84" t="n"/>
      <c r="O43" s="84" t="n"/>
    </row>
    <row r="44" ht="150" customHeight="1">
      <c r="A44" s="83" t="inlineStr">
        <is>
          <t>Junta</t>
        </is>
      </c>
      <c r="B44" s="84" t="n"/>
      <c r="C44" s="84" t="n"/>
      <c r="D44" s="84" t="n"/>
      <c r="E44" s="84" t="n"/>
      <c r="F44" s="84" t="n"/>
      <c r="G44" s="84" t="n"/>
      <c r="H44" s="84" t="n"/>
      <c r="I44" s="83" t="inlineStr">
        <is>
          <t>Poliuretano o EPDM continua, en cabezal</t>
        </is>
      </c>
      <c r="J44" s="84" t="n"/>
      <c r="K44" s="84" t="n"/>
      <c r="L44" s="84" t="n"/>
      <c r="M44" s="84" t="n"/>
      <c r="N44" s="84" t="n"/>
      <c r="O44" s="84" t="n"/>
    </row>
    <row r="45" ht="350" customHeight="1">
      <c r="A45" s="83" t="inlineStr">
        <is>
          <t>Portafiltros (holding frames)</t>
        </is>
      </c>
      <c r="B45" s="84" t="n"/>
      <c r="C45" s="84" t="n"/>
      <c r="D45" s="84" t="n"/>
      <c r="E45" s="84" t="n"/>
      <c r="F45" s="84" t="n"/>
      <c r="G45" s="84" t="n"/>
      <c r="H45" s="84" t="n"/>
      <c r="I45" s="83" t="inlineStr">
        <is>
          <t>Inox 304/316 con junta continua de poliuretano; galvanizado descartado por el ambiente clorado</t>
        </is>
      </c>
      <c r="J45" s="84" t="n"/>
      <c r="K45" s="84" t="n"/>
      <c r="L45" s="84" t="n"/>
      <c r="M45" s="84" t="n"/>
      <c r="N45" s="84" t="n"/>
      <c r="O45" s="84" t="n"/>
    </row>
    <row r="46" ht="350" customHeight="1">
      <c r="A46" s="83" t="inlineStr">
        <is>
          <t>Fijación prefiltro</t>
        </is>
      </c>
      <c r="B46" s="84" t="n"/>
      <c r="C46" s="84" t="n"/>
      <c r="D46" s="84" t="n"/>
      <c r="E46" s="84" t="n"/>
      <c r="F46" s="84" t="n"/>
      <c r="G46" s="84" t="n"/>
      <c r="H46" s="84" t="n"/>
      <c r="I46" s="83" t="inlineStr">
        <is>
          <t>Espaciador/clip frontal integrado al filtro final (configuración estándar de los candidatos)</t>
        </is>
      </c>
      <c r="J46" s="84" t="n"/>
      <c r="K46" s="84" t="n"/>
      <c r="L46" s="84" t="n"/>
      <c r="M46" s="84" t="n"/>
      <c r="N46" s="84" t="n"/>
      <c r="O46" s="84" t="n"/>
    </row>
    <row r="47" ht="400" customHeight="1">
      <c r="A47" s="83" t="inlineStr">
        <is>
          <t>Marco del prefiltro</t>
        </is>
      </c>
      <c r="B47" s="84" t="n"/>
      <c r="C47" s="84" t="n"/>
      <c r="D47" s="84" t="n"/>
      <c r="E47" s="84" t="n"/>
      <c r="F47" s="84" t="n"/>
      <c r="G47" s="84" t="n"/>
      <c r="H47" s="84" t="n"/>
      <c r="I47" s="83" t="inlineStr">
        <is>
          <t>Cartón hidrófugo; la rejilla soporte galvanizada se acepta con inspección de corrosión programada en el primer año</t>
        </is>
      </c>
      <c r="J47" s="84" t="n"/>
      <c r="K47" s="84" t="n"/>
      <c r="L47" s="84" t="n"/>
      <c r="M47" s="84" t="n"/>
      <c r="N47" s="84" t="n"/>
      <c r="O47" s="84" t="n"/>
    </row>
    <row r="48" ht="50" customHeight="1"/>
    <row r="49" ht="100" customHeight="1">
      <c r="A49" s="81" t="inlineStr">
        <is>
          <t>5. Candidatos comerciales</t>
        </is>
      </c>
    </row>
    <row r="50" ht="150" customHeight="1">
      <c r="A50" s="86" t="inlineStr">
        <is>
          <t>Tabla 4. Filtros finales candidatos (500 fpm = 2.54 m/s; consulta 2026-07-23).</t>
        </is>
      </c>
    </row>
    <row r="51" ht="100" customHeight="1">
      <c r="A51" s="82" t="inlineStr">
        <is>
          <t>Fabricante / modelo</t>
        </is>
      </c>
      <c r="B51" s="82" t="n"/>
      <c r="C51" s="82" t="n"/>
      <c r="D51" s="82" t="inlineStr">
        <is>
          <t>Clase</t>
        </is>
      </c>
      <c r="E51" s="82" t="n"/>
      <c r="F51" s="82" t="n"/>
      <c r="G51" s="82" t="inlineStr">
        <is>
          <t>Marco</t>
        </is>
      </c>
      <c r="H51" s="82" t="n"/>
      <c r="I51" s="82" t="n"/>
      <c r="J51" s="82" t="inlineStr">
        <is>
          <t>ΔP inicial catálogo</t>
        </is>
      </c>
      <c r="K51" s="82" t="n"/>
      <c r="L51" s="82" t="inlineStr">
        <is>
          <t>ΔP final máx.</t>
        </is>
      </c>
      <c r="M51" s="82" t="n"/>
      <c r="N51" s="82" t="inlineStr">
        <is>
          <t>Fuente</t>
        </is>
      </c>
      <c r="O51" s="82" t="n"/>
    </row>
    <row r="52" ht="300" customHeight="1">
      <c r="A52" s="83" t="inlineStr">
        <is>
          <t>Camfil Durafil ES2 (referencia de diseño)</t>
        </is>
      </c>
      <c r="B52" s="84" t="n"/>
      <c r="C52" s="84" t="n"/>
      <c r="D52" s="83" t="inlineStr">
        <is>
          <t>MERV 14 / ePM1 70</t>
        </is>
      </c>
      <c r="E52" s="84" t="n"/>
      <c r="F52" s="84" t="n"/>
      <c r="G52" s="83" t="inlineStr">
        <is>
          <t>Plástico ABS/poliestireno</t>
        </is>
      </c>
      <c r="H52" s="84" t="n"/>
      <c r="I52" s="84" t="n"/>
      <c r="J52" s="83" t="inlineStr">
        <is>
          <t>≤ 0.32 in c.a. ≈ 80 Pa</t>
        </is>
      </c>
      <c r="K52" s="84" t="n"/>
      <c r="L52" s="83" t="inlineStr">
        <is>
          <t>375 Pa</t>
        </is>
      </c>
      <c r="M52" s="84" t="n"/>
      <c r="N52" s="83" t="inlineStr">
        <is>
          <t>Ficha (PDF) (https://cdn.lsicloud.net/pandhwhsal/documents/855080-003.pdf)</t>
        </is>
      </c>
      <c r="O52" s="84" t="n"/>
    </row>
    <row r="53" ht="600" customHeight="1">
      <c r="A53" s="83" t="inlineStr">
        <is>
          <t>AAF VariCel VXL</t>
        </is>
      </c>
      <c r="B53" s="84" t="n"/>
      <c r="C53" s="84" t="n"/>
      <c r="D53" s="83" t="inlineStr">
        <is>
          <t>MERV 14</t>
        </is>
      </c>
      <c r="E53" s="84" t="n"/>
      <c r="F53" s="84" t="n"/>
      <c r="G53" s="83" t="inlineStr">
        <is>
          <t>Plástico HIPS + ABS, sin metal</t>
        </is>
      </c>
      <c r="H53" s="84" t="n"/>
      <c r="I53" s="84" t="n"/>
      <c r="J53" s="83" t="inlineStr">
        <is>
          <t>≈ 100-112 Pa (dato típico, de curva)</t>
        </is>
      </c>
      <c r="K53" s="84" t="n"/>
      <c r="L53" s="83" t="inlineStr">
        <is>
          <t>500 Pa</t>
        </is>
      </c>
      <c r="M53" s="84" t="n"/>
      <c r="N53" s="83" t="inlineStr">
        <is>
          <t>AAF AFP-1-162 (PDF) (https://aafterms.aafintl.com/-/media/files/aaf/commercial-and-industrial/us-products/box-filters/varicel-vxl/varicel-vxl_prod_mark_sht_afp-1-162.pdf)</t>
        </is>
      </c>
      <c r="O53" s="84" t="n"/>
    </row>
    <row r="54" ht="350" customHeight="1">
      <c r="A54" s="83" t="inlineStr">
        <is>
          <t>Freudenberg Viledon MaxiPleat MX 85</t>
        </is>
      </c>
      <c r="B54" s="84" t="n"/>
      <c r="C54" s="84" t="n"/>
      <c r="D54" s="83" t="inlineStr">
        <is>
          <t>F8 / ePM1 65 % (≈ MERV 14)</t>
        </is>
      </c>
      <c r="E54" s="84" t="n"/>
      <c r="F54" s="84" t="n"/>
      <c r="G54" s="83" t="inlineStr">
        <is>
          <t>Plástico, paquete fundido estanco</t>
        </is>
      </c>
      <c r="H54" s="84" t="n"/>
      <c r="I54" s="84" t="n"/>
      <c r="J54" s="83" t="inlineStr">
        <is>
          <t>135-180 Pa (familia)</t>
        </is>
      </c>
      <c r="K54" s="84" t="n"/>
      <c r="L54" s="83" t="inlineStr">
        <is>
          <t>≈ 450 Pa (dato típico)</t>
        </is>
      </c>
      <c r="M54" s="84" t="n"/>
      <c r="N54" s="83" t="inlineStr">
        <is>
          <t>Ficha (PDF) (https://menardifilters.se/wp-content/uploads/MaxiPleat_DS_02-CC-038-EN_low.pdf)</t>
        </is>
      </c>
      <c r="O54" s="84" t="n"/>
    </row>
    <row r="55" ht="350" customHeight="1">
      <c r="A55" s="83" t="inlineStr">
        <is>
          <t>Koch Multi-Pleat Green13</t>
        </is>
      </c>
      <c r="B55" s="84" t="n"/>
      <c r="C55" s="84" t="n"/>
      <c r="D55" s="83" t="inlineStr">
        <is>
          <t>MERV 13</t>
        </is>
      </c>
      <c r="E55" s="84" t="n"/>
      <c r="F55" s="84" t="n"/>
      <c r="G55" s="83" t="inlineStr">
        <is>
          <t>Cartón + rejilla galvanizada</t>
        </is>
      </c>
      <c r="H55" s="84" t="n"/>
      <c r="I55" s="84" t="n"/>
      <c r="J55" s="83" t="inlineStr">
        <is>
          <t>≈ 75-100 Pa (dato típico plisados MERV 13)</t>
        </is>
      </c>
      <c r="K55" s="84" t="n"/>
      <c r="L55" s="83" t="inlineStr">
        <is>
          <t>≈ 250 Pa (dato típico)</t>
        </is>
      </c>
      <c r="M55" s="84" t="n"/>
      <c r="N55" s="83" t="inlineStr">
        <is>
          <t>Ficha (PDF) (https://www.airfilterplus.com/wp-content/uploads/2022/03/Multi-Pleat-Green-13-2021.pdf)</t>
        </is>
      </c>
      <c r="O55" s="84" t="n"/>
    </row>
    <row r="56" ht="50" customHeight="1"/>
    <row r="57" ht="100" customHeight="1">
      <c r="A57" s="86" t="inlineStr">
        <is>
          <t>Tabla 5. Prefiltros candidatos y portafiltros (consulta 2026-07-23).</t>
        </is>
      </c>
    </row>
    <row r="58" ht="50" customHeight="1">
      <c r="A58" s="82" t="inlineStr">
        <is>
          <t>Ítem</t>
        </is>
      </c>
      <c r="B58" s="82" t="n"/>
      <c r="C58" s="82" t="n"/>
      <c r="D58" s="82" t="n"/>
      <c r="E58" s="82" t="inlineStr">
        <is>
          <t>Candidato</t>
        </is>
      </c>
      <c r="F58" s="82" t="n"/>
      <c r="G58" s="82" t="n"/>
      <c r="H58" s="82" t="n"/>
      <c r="I58" s="82" t="inlineStr">
        <is>
          <t>Dato clave</t>
        </is>
      </c>
      <c r="J58" s="82" t="n"/>
      <c r="K58" s="82" t="n"/>
      <c r="L58" s="82" t="n"/>
      <c r="M58" s="82" t="inlineStr">
        <is>
          <t>Fuente</t>
        </is>
      </c>
      <c r="N58" s="82" t="n"/>
      <c r="O58" s="82" t="n"/>
    </row>
    <row r="59" ht="300" customHeight="1">
      <c r="A59" s="83" t="inlineStr">
        <is>
          <t>Prefiltro MERV 8</t>
        </is>
      </c>
      <c r="B59" s="84" t="n"/>
      <c r="C59" s="84" t="n"/>
      <c r="D59" s="84" t="n"/>
      <c r="E59" s="83" t="inlineStr">
        <is>
          <t>Camfil 30/30 / Dual 9</t>
        </is>
      </c>
      <c r="F59" s="84" t="n"/>
      <c r="G59" s="84" t="n"/>
      <c r="H59" s="84" t="n"/>
      <c r="I59" s="83" t="inlineStr">
        <is>
          <t>ΔP inicial ≤ 67-75 Pa @ 500 fpm</t>
        </is>
      </c>
      <c r="J59" s="84" t="n"/>
      <c r="K59" s="84" t="n"/>
      <c r="L59" s="84" t="n"/>
      <c r="M59" s="83" t="inlineStr">
        <is>
          <t>Ficha (PDF) (https://cdn.lsicloud.net/pandhwhsal/documents/406331002-SPS.pdf)</t>
        </is>
      </c>
      <c r="N59" s="84" t="n"/>
      <c r="O59" s="84" t="n"/>
    </row>
    <row r="60" ht="300" customHeight="1">
      <c r="A60" s="83" t="inlineStr">
        <is>
          <t>Prefiltro MERV 8</t>
        </is>
      </c>
      <c r="B60" s="84" t="n"/>
      <c r="C60" s="84" t="n"/>
      <c r="D60" s="84" t="n"/>
      <c r="E60" s="83" t="inlineStr">
        <is>
          <t>Koch Multi-Pleat XL8</t>
        </is>
      </c>
      <c r="F60" s="84" t="n"/>
      <c r="G60" s="84" t="n"/>
      <c r="H60" s="84" t="n"/>
      <c r="I60" s="83" t="inlineStr">
        <is>
          <t>ΔP inicial ~50-62 Pa (dato típico, de curva)</t>
        </is>
      </c>
      <c r="J60" s="84" t="n"/>
      <c r="K60" s="84" t="n"/>
      <c r="L60" s="84" t="n"/>
      <c r="M60" s="83" t="inlineStr">
        <is>
          <t>Ficha (PDF) (https://fsifiltration.com/wp-content/uploads/2020/08/Pleated-MERV8.pdf)</t>
        </is>
      </c>
      <c r="N60" s="84" t="n"/>
      <c r="O60" s="84" t="n"/>
    </row>
    <row r="61" ht="550" customHeight="1">
      <c r="A61" s="83" t="inlineStr">
        <is>
          <t>Portafiltros</t>
        </is>
      </c>
      <c r="B61" s="84" t="n"/>
      <c r="C61" s="84" t="n"/>
      <c r="D61" s="84" t="n"/>
      <c r="E61" s="83" t="inlineStr">
        <is>
          <t>Camfil MagnaFrame II</t>
        </is>
      </c>
      <c r="F61" s="84" t="n"/>
      <c r="G61" s="84" t="n"/>
      <c r="H61" s="84" t="n"/>
      <c r="I61" s="83" t="inlineStr">
        <is>
          <t>Galvanizado 14 ga, opción inox 304; junta PU</t>
        </is>
      </c>
      <c r="J61" s="84" t="n"/>
      <c r="K61" s="84" t="n"/>
      <c r="L61" s="84" t="n"/>
      <c r="M61" s="83" t="inlineStr">
        <is>
          <t>Camfil (https://www.camfil.com/en-ca/products/housings-frames--louvers/filter-holding-frames/filter-holding-frames/magnaframe-ii-gasket-seal-_-47771)</t>
        </is>
      </c>
      <c r="N61" s="84" t="n"/>
      <c r="O61" s="84" t="n"/>
    </row>
    <row r="62" ht="550" customHeight="1">
      <c r="A62" s="83" t="inlineStr">
        <is>
          <t>Portafiltros</t>
        </is>
      </c>
      <c r="B62" s="84" t="n"/>
      <c r="C62" s="84" t="n"/>
      <c r="D62" s="84" t="n"/>
      <c r="E62" s="83" t="inlineStr">
        <is>
          <t>Camfil Universal Holding Frame</t>
        </is>
      </c>
      <c r="F62" s="84" t="n"/>
      <c r="G62" s="84" t="n"/>
      <c r="H62" s="84" t="n"/>
      <c r="I62" s="83" t="inlineStr">
        <is>
          <t>Disponible inox o galvanizado; junta PU continua opcional</t>
        </is>
      </c>
      <c r="J62" s="84" t="n"/>
      <c r="K62" s="84" t="n"/>
      <c r="L62" s="84" t="n"/>
      <c r="M62" s="83" t="inlineStr">
        <is>
          <t>Camfil (https://www.camfil.com/en-sg/products/housings-frames--louvers/filter-holding-frames/filter-holding-frames/universal-filter-holding-frame-_-46512)</t>
        </is>
      </c>
      <c r="N62" s="84" t="n"/>
      <c r="O62" s="84" t="n"/>
    </row>
    <row r="63" ht="50" customHeight="1"/>
    <row r="64" ht="150" customHeight="1">
      <c r="A64" s="81" t="inlineStr">
        <is>
          <t>6. Suministro y repuestos (Colombia)</t>
        </is>
      </c>
    </row>
    <row r="65" ht="650" customHeight="1">
      <c r="A65" s="85" t="inlineStr">
        <is>
          <t>6.1. Canales identificados (consulta 2026-07-23): AAF/Flanders vía Filter Tech S.A.S. (https://filtrosdeaireacondicionado.com/) y Air Solutions Colombia (https://www.airsolutionscolombia.com/productos); Camfil vía ITECO (https://www.iteco.com.co/nuestras-marcas/) y RGD Aire (https://rgdaire.com/index.php/servicio-filtros/); reemplazos compatibles de fabricación nacional CARVEL S.A./Workclean (https://carvel.com.co/catalogo-workclean/filtros-de-aire-acondicionado-tipo-cartucho-fdcjm/).</t>
        </is>
      </c>
    </row>
    <row r="66" ht="350" customHeight="1">
      <c r="A66" s="85" t="inlineStr">
        <is>
          <t>6.2. La especificación se congela en términos MERV 13-14 / ePM1 50-70 % + 24×24 in para habilitar segunda fuente. Se incluye en la compra inicial un juego de repuestos (un prefiltro y un filtro final). Cantidades y plazos: por confirmar con proveedor.</t>
        </is>
      </c>
    </row>
    <row r="67" ht="50" customHeight="1"/>
    <row r="68" ht="250" customHeight="1">
      <c r="A68" s="81" t="inlineStr">
        <is>
          <t>7. Integración en la cubierta intemperie del ventilador mural DTS-001</t>
        </is>
      </c>
    </row>
    <row r="69" ht="1150" customHeight="1">
      <c r="A69" s="85" t="inlineStr">
        <is>
          <t>7.1. El ventilador seleccionado es un axial mural (placa mural) Ø560 mm de transmisión directa (HD-VENT-001, DTS-001) con punto de trabajo 3 840 m³/h a 165 Pa en el sitio (equivalente 225 Pa en catálogo a ρ = 1,2 kg/m³). Por uniformidad con el montaje típico de la planta, el banco de filtración FILT-001 se aloja dentro de la cubierta intemperie del ventilador, sin caja/housing separado ni transición cuadrado/circular. La secuencia de flujo es: toma exterior (boca de la cubierta) → malla anti-insectos → prefiltro MERV 8 → filtro final MERV 13-14 → ventilador axial mural → paso por muro → malla de protección interior → descarga al recinto (HD-VENT-001 §8.1).</t>
        </is>
      </c>
    </row>
    <row r="70" ht="50" customHeight="1"/>
    <row r="71" ht="150" customHeight="1">
      <c r="A71" s="86" t="inlineStr">
        <is>
          <t>Tabla 6. Verificación hidráulica del filtro final en el punto de trabajo del ventilador.</t>
        </is>
      </c>
    </row>
    <row r="72" ht="100" customHeight="1">
      <c r="A72" s="82" t="inlineStr">
        <is>
          <t>Parámetro</t>
        </is>
      </c>
      <c r="B72" s="82" t="n"/>
      <c r="C72" s="82" t="n"/>
      <c r="D72" s="82" t="n"/>
      <c r="E72" s="82" t="n"/>
      <c r="F72" s="82" t="inlineStr">
        <is>
          <t>Valor</t>
        </is>
      </c>
      <c r="G72" s="82" t="n"/>
      <c r="H72" s="82" t="n"/>
      <c r="I72" s="82" t="n"/>
      <c r="J72" s="82" t="n"/>
      <c r="K72" s="82" t="inlineStr">
        <is>
          <t>Fuente / cálculo</t>
        </is>
      </c>
      <c r="L72" s="82" t="n"/>
      <c r="M72" s="82" t="n"/>
      <c r="N72" s="82" t="n"/>
      <c r="O72" s="82" t="n"/>
    </row>
    <row r="73" ht="150" customHeight="1">
      <c r="A73" s="83" t="inlineStr">
        <is>
          <t>Caudal de diseño</t>
        </is>
      </c>
      <c r="B73" s="84" t="n"/>
      <c r="C73" s="84" t="n"/>
      <c r="D73" s="84" t="n"/>
      <c r="E73" s="84" t="n"/>
      <c r="F73" s="83" t="inlineStr">
        <is>
          <t>3 840 m³/h ≡ 2 260 CFM</t>
        </is>
      </c>
      <c r="G73" s="84" t="n"/>
      <c r="H73" s="84" t="n"/>
      <c r="I73" s="84" t="n"/>
      <c r="J73" s="84" t="n"/>
      <c r="K73" s="83" t="inlineStr">
        <is>
          <t>Memoria de cálculo, HD-VENT-001 §3</t>
        </is>
      </c>
      <c r="L73" s="84" t="n"/>
      <c r="M73" s="84" t="n"/>
      <c r="N73" s="84" t="n"/>
      <c r="O73" s="84" t="n"/>
    </row>
    <row r="74" ht="150" customHeight="1">
      <c r="A74" s="83" t="inlineStr">
        <is>
          <t>Área facial del filtro 24×24 in</t>
        </is>
      </c>
      <c r="B74" s="84" t="n"/>
      <c r="C74" s="84" t="n"/>
      <c r="D74" s="84" t="n"/>
      <c r="E74" s="84" t="n"/>
      <c r="F74" s="83" t="inlineStr">
        <is>
          <t>0,372 m² ≡ 4,00 ft²</t>
        </is>
      </c>
      <c r="G74" s="84" t="n"/>
      <c r="H74" s="84" t="n"/>
      <c r="I74" s="84" t="n"/>
      <c r="J74" s="84" t="n"/>
      <c r="K74" s="83" t="inlineStr">
        <is>
          <t>610 mm × 610 mm</t>
        </is>
      </c>
      <c r="L74" s="84" t="n"/>
      <c r="M74" s="84" t="n"/>
      <c r="N74" s="84" t="n"/>
      <c r="O74" s="84" t="n"/>
    </row>
    <row r="75" ht="150" customHeight="1">
      <c r="A75" s="83" t="inlineStr">
        <is>
          <t>Velocidad facial en el filtro</t>
        </is>
      </c>
      <c r="B75" s="84" t="n"/>
      <c r="C75" s="84" t="n"/>
      <c r="D75" s="84" t="n"/>
      <c r="E75" s="84" t="n"/>
      <c r="F75" s="83" t="inlineStr">
        <is>
          <t>2,87 m/s ≡ 565 fpm</t>
        </is>
      </c>
      <c r="G75" s="84" t="n"/>
      <c r="H75" s="84" t="n"/>
      <c r="I75" s="84" t="n"/>
      <c r="J75" s="84" t="n"/>
      <c r="K75" s="83" t="inlineStr">
        <is>
          <t>Q / A</t>
        </is>
      </c>
      <c r="L75" s="84" t="n"/>
      <c r="M75" s="84" t="n"/>
      <c r="N75" s="84" t="n"/>
      <c r="O75" s="84" t="n"/>
    </row>
    <row r="76" ht="400" customHeight="1">
      <c r="A76" s="83" t="inlineStr">
        <is>
          <t>Velocidad máxima usable (Durafil ES3)</t>
        </is>
      </c>
      <c r="B76" s="84" t="n"/>
      <c r="C76" s="84" t="n"/>
      <c r="D76" s="84" t="n"/>
      <c r="E76" s="84" t="n"/>
      <c r="F76" s="83" t="inlineStr">
        <is>
          <t>625 fpm</t>
        </is>
      </c>
      <c r="G76" s="84" t="n"/>
      <c r="H76" s="84" t="n"/>
      <c r="I76" s="84" t="n"/>
      <c r="J76" s="84" t="n"/>
      <c r="K76" s="83" t="inlineStr">
        <is>
          <t>Product Sheet Durafil ES3 (PDF) (https://www.camfil.com/dam/files/290/1590002/Product-Sheet-Durafil-ES3-ENG-US.pdf)</t>
        </is>
      </c>
      <c r="L76" s="84" t="n"/>
      <c r="M76" s="84" t="n"/>
      <c r="N76" s="84" t="n"/>
      <c r="O76" s="84" t="n"/>
    </row>
    <row r="77" ht="350" customHeight="1">
      <c r="A77" s="83" t="inlineStr">
        <is>
          <t>ΔP inicial catálogo MERV 14 @ 500 fpm</t>
        </is>
      </c>
      <c r="B77" s="84" t="n"/>
      <c r="C77" s="84" t="n"/>
      <c r="D77" s="84" t="n"/>
      <c r="E77" s="84" t="n"/>
      <c r="F77" s="83" t="inlineStr">
        <is>
          <t>0,31 in c.a. ≡ 77 Pa</t>
        </is>
      </c>
      <c r="G77" s="84" t="n"/>
      <c r="H77" s="84" t="n"/>
      <c r="I77" s="84" t="n"/>
      <c r="J77" s="84" t="n"/>
      <c r="K77" s="83" t="inlineStr">
        <is>
          <t>Drawing Durafil ES3 (PDF) (https://www.camfil.com/dam/files/1165/1676816/Drawing-Durafil-ES3.pdf)</t>
        </is>
      </c>
      <c r="L77" s="84" t="n"/>
      <c r="M77" s="84" t="n"/>
      <c r="N77" s="84" t="n"/>
      <c r="O77" s="84" t="n"/>
    </row>
    <row r="78" ht="150" customHeight="1">
      <c r="A78" s="83" t="inlineStr">
        <is>
          <t>ΔP inicial estimado @ 565 fpm (catálogo)</t>
        </is>
      </c>
      <c r="B78" s="84" t="n"/>
      <c r="C78" s="84" t="n"/>
      <c r="D78" s="84" t="n"/>
      <c r="E78" s="84" t="n"/>
      <c r="F78" s="83" t="inlineStr">
        <is>
          <t>98 Pa</t>
        </is>
      </c>
      <c r="G78" s="84" t="n"/>
      <c r="H78" s="84" t="n"/>
      <c r="I78" s="84" t="n"/>
      <c r="J78" s="84" t="n"/>
      <c r="K78" s="83" t="inlineStr">
        <is>
          <t>Escalado cuadrático: 77 Pa × (565/500)²</t>
        </is>
      </c>
      <c r="L78" s="84" t="n"/>
      <c r="M78" s="84" t="n"/>
      <c r="N78" s="84" t="n"/>
      <c r="O78" s="84" t="n"/>
    </row>
    <row r="79" ht="200" customHeight="1">
      <c r="A79" s="83" t="inlineStr">
        <is>
          <t>ΔP inicial estimado en el sitio (ρ = 0,88 kg/m³)</t>
        </is>
      </c>
      <c r="B79" s="84" t="n"/>
      <c r="C79" s="84" t="n"/>
      <c r="D79" s="84" t="n"/>
      <c r="E79" s="84" t="n"/>
      <c r="F79" s="83" t="inlineStr">
        <is>
          <t>72 Pa</t>
        </is>
      </c>
      <c r="G79" s="84" t="n"/>
      <c r="H79" s="84" t="n"/>
      <c r="I79" s="84" t="n"/>
      <c r="J79" s="84" t="n"/>
      <c r="K79" s="83" t="inlineStr">
        <is>
          <t>98 Pa × 0,733</t>
        </is>
      </c>
      <c r="L79" s="84" t="n"/>
      <c r="M79" s="84" t="n"/>
      <c r="N79" s="84" t="n"/>
      <c r="O79" s="84" t="n"/>
    </row>
    <row r="80" ht="150" customHeight="1">
      <c r="A80" s="83" t="inlineStr">
        <is>
          <t>ΔP final de diseño (catálogo)</t>
        </is>
      </c>
      <c r="B80" s="84" t="n"/>
      <c r="C80" s="84" t="n"/>
      <c r="D80" s="84" t="n"/>
      <c r="E80" s="84" t="n"/>
      <c r="F80" s="83" t="inlineStr">
        <is>
          <t>210 Pa</t>
        </is>
      </c>
      <c r="G80" s="84" t="n"/>
      <c r="H80" s="84" t="n"/>
      <c r="I80" s="84" t="n"/>
      <c r="J80" s="84" t="n"/>
      <c r="K80" s="83" t="inlineStr">
        <is>
          <t>Valor congelado de la memoria de cálculo</t>
        </is>
      </c>
      <c r="L80" s="84" t="n"/>
      <c r="M80" s="84" t="n"/>
      <c r="N80" s="84" t="n"/>
      <c r="O80" s="84" t="n"/>
    </row>
    <row r="81" ht="150" customHeight="1">
      <c r="A81" s="83" t="inlineStr">
        <is>
          <t>ΔP final estimado en el sitio</t>
        </is>
      </c>
      <c r="B81" s="84" t="n"/>
      <c r="C81" s="84" t="n"/>
      <c r="D81" s="84" t="n"/>
      <c r="E81" s="84" t="n"/>
      <c r="F81" s="83" t="inlineStr">
        <is>
          <t>154 Pa</t>
        </is>
      </c>
      <c r="G81" s="84" t="n"/>
      <c r="H81" s="84" t="n"/>
      <c r="I81" s="84" t="n"/>
      <c r="J81" s="84" t="n"/>
      <c r="K81" s="83" t="inlineStr">
        <is>
          <t>210 Pa × 0,733</t>
        </is>
      </c>
      <c r="L81" s="84" t="n"/>
      <c r="M81" s="84" t="n"/>
      <c r="N81" s="84" t="n"/>
      <c r="O81" s="84" t="n"/>
    </row>
    <row r="82" ht="200" customHeight="1">
      <c r="A82" s="83" t="inlineStr">
        <is>
          <t>ΔP disponible para filtro + rejillas en el ventilador</t>
        </is>
      </c>
      <c r="B82" s="84" t="n"/>
      <c r="C82" s="84" t="n"/>
      <c r="D82" s="84" t="n"/>
      <c r="E82" s="84" t="n"/>
      <c r="F82" s="83" t="inlineStr">
        <is>
          <t>165 Pa sitio</t>
        </is>
      </c>
      <c r="G82" s="84" t="n"/>
      <c r="H82" s="84" t="n"/>
      <c r="I82" s="84" t="n"/>
      <c r="J82" s="84" t="n"/>
      <c r="K82" s="83" t="inlineStr">
        <is>
          <t>HD-VENT-001 §3</t>
        </is>
      </c>
      <c r="L82" s="84" t="n"/>
      <c r="M82" s="84" t="n"/>
      <c r="N82" s="84" t="n"/>
      <c r="O82" s="84" t="n"/>
    </row>
    <row r="83" ht="50" customHeight="1"/>
    <row r="84" ht="1350" customHeight="1">
      <c r="A84" s="85" t="inlineStr">
        <is>
          <t>7.2. El filtro final opera dentro del rango hidráulico permitido: la velocidad facial (565 fpm) es inferior al límite de 625 fpm del Durafil ES3, y la caída de presión final de diseño (154 Pa en el sitio) deja un margen de 11 Pa para las rejillas de descarga, coincidente con el punto de trabajo declarado del ventilador. El caudal de 2 260 CFM supera el caudal nominal (rated airflow) de 2 000 CFM del Durafil ES3 24×24×12, pero se encuentra dentro del máximo operativo dado por 625 fpm (≈2 500 CFM); por tanto, la selección requiere confirmación del fabricante de que no se excede el límite de uso continuo. El Durafil ES2 (referencia original) tiene caudal nominal 3 000 CFM, por lo que también es técnicamente válido y puede ofrecerse como alternativa equivalente.</t>
        </is>
      </c>
    </row>
    <row r="85" ht="50" customHeight="1"/>
    <row r="86" ht="1300" customHeight="1">
      <c r="A86" s="85" t="inlineStr">
        <is>
          <t>7.3. La cubierta intemperie reemplaza funcionalmente a la caja de filtración: protege contra lluvia, radiación solar e ingreso directo de agua, y aloja en su interior el portafiltros con la malla anti-insectos, el prefiltro y el filtro final. Se especifica con acceso frontal o superior para el cambio de filtros desde la plataforma, boca de entrada con área libre suficiente para no añadir pérdida significativa (la pérdida de la boca se consigna como margen menor dentro de los 165 Pa; confirmar en submittal), y embridado directo a la placa mural del ventilador. Material: PRFV con resina viniléster o acero galvanizado G90 con pintura electrostática epóxica; alternativa inox 316L, siguiendo el mismo criterio anticorrosivo del ventilador.</t>
        </is>
      </c>
    </row>
    <row r="87" ht="50" customHeight="1"/>
    <row r="88" ht="100" customHeight="1">
      <c r="A88" s="86" t="inlineStr">
        <is>
          <t>Tabla 7. Accesorios y periféricos del banco de filtración en la cubierta.</t>
        </is>
      </c>
    </row>
    <row r="89" ht="100" customHeight="1">
      <c r="A89" s="82" t="inlineStr">
        <is>
          <t>Ítem</t>
        </is>
      </c>
      <c r="B89" s="82" t="n"/>
      <c r="C89" s="82" t="n"/>
      <c r="D89" s="82" t="n"/>
      <c r="E89" s="82" t="inlineStr">
        <is>
          <t>Función</t>
        </is>
      </c>
      <c r="F89" s="82" t="n"/>
      <c r="G89" s="82" t="n"/>
      <c r="H89" s="82" t="n"/>
      <c r="I89" s="82" t="inlineStr">
        <is>
          <t>Material / especificación</t>
        </is>
      </c>
      <c r="J89" s="82" t="n"/>
      <c r="K89" s="82" t="n"/>
      <c r="L89" s="82" t="n"/>
      <c r="M89" s="82" t="inlineStr">
        <is>
          <t>Nota de compatibilidad</t>
        </is>
      </c>
      <c r="N89" s="82" t="n"/>
      <c r="O89" s="82" t="n"/>
    </row>
    <row r="90" ht="250" customHeight="1">
      <c r="A90" s="83" t="inlineStr">
        <is>
          <t>Portafiltros (holding frame)</t>
        </is>
      </c>
      <c r="B90" s="84" t="n"/>
      <c r="C90" s="84" t="n"/>
      <c r="D90" s="84" t="n"/>
      <c r="E90" s="83" t="inlineStr">
        <is>
          <t>Sujeción y sellado del prefiltro y filtro final dentro de la cubierta</t>
        </is>
      </c>
      <c r="F90" s="84" t="n"/>
      <c r="G90" s="84" t="n"/>
      <c r="H90" s="84" t="n"/>
      <c r="I90" s="83" t="inlineStr">
        <is>
          <t>Inox 316L, junta de poliuretano continua</t>
        </is>
      </c>
      <c r="J90" s="84" t="n"/>
      <c r="K90" s="84" t="n"/>
      <c r="L90" s="84" t="n"/>
      <c r="M90" s="83" t="inlineStr">
        <is>
          <t>Debe aceptar módulo 24×24 in y admitir carga del filtro (≈5 kg)</t>
        </is>
      </c>
      <c r="N90" s="84" t="n"/>
      <c r="O90" s="84" t="n"/>
    </row>
    <row r="91" ht="250" customHeight="1">
      <c r="A91" s="83" t="inlineStr">
        <is>
          <t>Malla anti-insectos</t>
        </is>
      </c>
      <c r="B91" s="84" t="n"/>
      <c r="C91" s="84" t="n"/>
      <c r="D91" s="84" t="n"/>
      <c r="E91" s="83" t="inlineStr">
        <is>
          <t>Protección contra insectos y objetos gruesos en la boca de la cubierta</t>
        </is>
      </c>
      <c r="F91" s="84" t="n"/>
      <c r="G91" s="84" t="n"/>
      <c r="H91" s="84" t="n"/>
      <c r="I91" s="83" t="inlineStr">
        <is>
          <t>Inox 316, tejido 18×18, marco desmontable</t>
        </is>
      </c>
      <c r="J91" s="84" t="n"/>
      <c r="K91" s="84" t="n"/>
      <c r="L91" s="84" t="n"/>
      <c r="M91" s="83" t="inlineStr">
        <is>
          <t>Aguas arriba del prefiltro (listado_equipos.md ítem 7)</t>
        </is>
      </c>
      <c r="N91" s="84" t="n"/>
      <c r="O91" s="84" t="n"/>
    </row>
    <row r="92" ht="300" customHeight="1">
      <c r="A92" s="83" t="inlineStr">
        <is>
          <t>Cubierta intemperie</t>
        </is>
      </c>
      <c r="B92" s="84" t="n"/>
      <c r="C92" s="84" t="n"/>
      <c r="D92" s="84" t="n"/>
      <c r="E92" s="83" t="inlineStr">
        <is>
          <t>Aloja el banco de filtración; protección de intemperie; embridado a placa mural</t>
        </is>
      </c>
      <c r="F92" s="84" t="n"/>
      <c r="G92" s="84" t="n"/>
      <c r="H92" s="84" t="n"/>
      <c r="I92" s="83" t="inlineStr">
        <is>
          <t>PRFV viniléster o galvanizado G90 + pintura epóxica; alternativa inox 316L</t>
        </is>
      </c>
      <c r="J92" s="84" t="n"/>
      <c r="K92" s="84" t="n"/>
      <c r="L92" s="84" t="n"/>
      <c r="M92" s="83" t="inlineStr">
        <is>
          <t>Acceso frontal/superior para cambio de filtros; drenaje inferior</t>
        </is>
      </c>
      <c r="N92" s="84" t="n"/>
      <c r="O92" s="84" t="n"/>
    </row>
    <row r="93" ht="300" customHeight="1">
      <c r="A93" s="83" t="inlineStr">
        <is>
          <t>Clips de prefiltro</t>
        </is>
      </c>
      <c r="B93" s="84" t="n"/>
      <c r="C93" s="84" t="n"/>
      <c r="D93" s="84" t="n"/>
      <c r="E93" s="83" t="inlineStr">
        <is>
          <t>Fijar el prefiltro MERV 8 a la cara del filtro final</t>
        </is>
      </c>
      <c r="F93" s="84" t="n"/>
      <c r="G93" s="84" t="n"/>
      <c r="H93" s="84" t="n"/>
      <c r="I93" s="83" t="inlineStr">
        <is>
          <t>Plástico o inox 316 (Camfil C-84-2 / C-84-4 para ES3)</t>
        </is>
      </c>
      <c r="J93" s="84" t="n"/>
      <c r="K93" s="84" t="n"/>
      <c r="L93" s="84" t="n"/>
      <c r="M93" s="83" t="inlineStr">
        <is>
          <t>El Durafil ES3 incluye ranuras para clips; confirmar si se suministran con el filtro</t>
        </is>
      </c>
      <c r="N93" s="84" t="n"/>
      <c r="O93" s="84" t="n"/>
    </row>
    <row r="94" ht="300" customHeight="1">
      <c r="A94" s="83" t="inlineStr">
        <is>
          <t>Fijación de la cubierta</t>
        </is>
      </c>
      <c r="B94" s="84" t="n"/>
      <c r="C94" s="84" t="n"/>
      <c r="D94" s="84" t="n"/>
      <c r="E94" s="83" t="inlineStr">
        <is>
          <t>Anclaje de la cubierta a la placa mural y/o estructura de unión</t>
        </is>
      </c>
      <c r="F94" s="84" t="n"/>
      <c r="G94" s="84" t="n"/>
      <c r="H94" s="84" t="n"/>
      <c r="I94" s="83" t="inlineStr">
        <is>
          <t>Pernos inox 316 (A4) con aislamiento dieléctrico</t>
        </is>
      </c>
      <c r="J94" s="84" t="n"/>
      <c r="K94" s="84" t="n"/>
      <c r="L94" s="84" t="n"/>
      <c r="M94" s="83" t="inlineStr">
        <is>
          <t>La estructura de unión del ventilador (HD-VENT-001 §8.2) soporta el conjunto</t>
        </is>
      </c>
      <c r="N94" s="84" t="n"/>
      <c r="O94" s="84" t="n"/>
    </row>
    <row r="95" ht="50" customHeight="1"/>
    <row r="96" ht="1550" customHeight="1">
      <c r="A96" s="85" t="inlineStr">
        <is>
          <t>7.4. Puntos de verificación en campo. La boca de la cubierta debe tener área libre igual o mayor al área facial del filtro (0,372 m²) para no incrementar la pérdida de entrada; la profundidad interior de la cubierta debe acomodar la profundidad del conjunto (malla 30 mm + prefiltro 50 mm + filtro final 300 mm + holguras). La altura de montaje de 3,0 m sobre el piso exige plataforma o escalera industrial para el cambio de filtros; el peso del conjunto filtro+prefiltro (≈7 kg) es manejable manualmente. El sentido de flujo puede ser en cualquier dirección en el Durafil ES2/ES3; se recomienda orientar la flecha del filtro hacia el ventilador para aprovechar la succión y mantener el elemento asentado contra el portafiltros. Programa de mantenimiento: prefiltro 3-6 meses y filtro final 6-12 meses según ΔP o condición (criterio de la descripción técnica de planta).</t>
        </is>
      </c>
    </row>
    <row r="97" ht="50" customHeight="1"/>
    <row r="98" ht="50" customHeight="1"/>
    <row r="99" ht="150" customHeight="1">
      <c r="A99" s="81" t="inlineStr">
        <is>
          <t>8. Foto comercial de referencia</t>
        </is>
      </c>
    </row>
    <row r="100" ht="400" customHeight="1">
      <c r="A100" s="85" t="inlineStr">
        <is>
          <t>8.1. La Figura 1 presenta la imagen comercial del filtro V-bank Camfil Durafil ES (familia que incluye ES2 y ES3). La configuración mostrada corresponde a un filtro de banco tipo V con marco plástico ABS, juntas planas y ranuras para clips de prefiltro, equivalente en forma y dimensiones al especificado.</t>
        </is>
      </c>
    </row>
    <row r="101" ht="150" customHeight="1">
      <c r="A101" s="87" t="inlineStr">
        <is>
          <t>Figura 1. Filtro V-bank Camfil Durafil ES de referencia (24×24×12 in, MERV 13-14). Fuente: Camfil.</t>
        </is>
      </c>
    </row>
    <row r="102" ht="200" customHeight="1">
      <c r="A102" s="87" t="inlineStr">
        <is>
          <t>!Filtro Camfil Durafil ES V-bank (https://www.camfil.com/dam/images/878/144420/Durafil-ES-V-bank-air-filter.png?width=470&amp;height=470&amp;bgcolor=white)</t>
        </is>
      </c>
    </row>
    <row r="103" ht="500" customHeight="1">
      <c r="A103" s="85" t="inlineStr">
        <is>
          <t>8.2. Enlace directo a la ficha del distribuidor con especificaciones del SKU 855080-009 (Durafil ES2 24×24×12 in, MERV-14/14A): Capris — CAMFIL 855080009 Filtro tipo V (4V) con cejilla MERV-14/14A 24"×24"×12" Durafil ES2 (https://www.capris.cr/es/camfil-855080009-filtro-tipo-v-4v-con-cejilla-merv-14-14a-24u0022x24u0022x12u0022-durafil-es2-k50086.html).</t>
        </is>
      </c>
    </row>
    <row r="104" ht="50" customHeight="1"/>
    <row r="105" ht="100" customHeight="1">
      <c r="A105" s="81" t="inlineStr">
        <is>
          <t>9. Normas aplicables</t>
        </is>
      </c>
    </row>
    <row r="106" ht="500" customHeight="1">
      <c r="A106" s="85" t="inlineStr">
        <is>
          <t>9.1. ANSI/ASHRAE 52.2-2017 (ensayo y clasificación MERV); ISO 16890 (ePM1, exigible como informe alternativo); EN 779:2012 (referencia heredada F7/F8). El estado de carga del filtro se sigue por programa de mantenimiento basado en la ΔP esperada (59 Pa limpio / 154 Pa cargado en el sitio) y en la carga de polvo observada en operación (dato típico de operación).</t>
        </is>
      </c>
    </row>
  </sheetData>
  <mergeCells count="184">
    <mergeCell ref="K78:O78"/>
    <mergeCell ref="E61:H61"/>
    <mergeCell ref="I44:O44"/>
    <mergeCell ref="K80:O80"/>
    <mergeCell ref="D53:F53"/>
    <mergeCell ref="L53:M53"/>
    <mergeCell ref="N53:O53"/>
    <mergeCell ref="A79:E79"/>
    <mergeCell ref="F74:J74"/>
    <mergeCell ref="G24:I24"/>
    <mergeCell ref="N3:O3"/>
    <mergeCell ref="A58:D58"/>
    <mergeCell ref="A23:C23"/>
    <mergeCell ref="J53:K53"/>
    <mergeCell ref="K32:O32"/>
    <mergeCell ref="K72:O72"/>
    <mergeCell ref="F33:J33"/>
    <mergeCell ref="E62:H62"/>
    <mergeCell ref="F76:J76"/>
    <mergeCell ref="I90:L90"/>
    <mergeCell ref="N5:O5"/>
    <mergeCell ref="I46:O46"/>
    <mergeCell ref="M24:O24"/>
    <mergeCell ref="A60:D60"/>
    <mergeCell ref="C2:L3"/>
    <mergeCell ref="A52:C52"/>
    <mergeCell ref="A29:O29"/>
    <mergeCell ref="F75:J75"/>
    <mergeCell ref="A38:O38"/>
    <mergeCell ref="D23:F23"/>
    <mergeCell ref="F31:J31"/>
    <mergeCell ref="G52:I52"/>
    <mergeCell ref="I41:O41"/>
    <mergeCell ref="K73:O73"/>
    <mergeCell ref="I58:L58"/>
    <mergeCell ref="K82:O82"/>
    <mergeCell ref="I43:O43"/>
    <mergeCell ref="A13:H13"/>
    <mergeCell ref="A44:H44"/>
    <mergeCell ref="B1:B5"/>
    <mergeCell ref="A40:H40"/>
    <mergeCell ref="A77:E77"/>
    <mergeCell ref="J24:L24"/>
    <mergeCell ref="K74:O74"/>
    <mergeCell ref="F73:J73"/>
    <mergeCell ref="F78:J78"/>
    <mergeCell ref="A15:H15"/>
    <mergeCell ref="M94:O94"/>
    <mergeCell ref="A99:O99"/>
    <mergeCell ref="A62:D62"/>
    <mergeCell ref="E91:H91"/>
    <mergeCell ref="M22:O22"/>
    <mergeCell ref="N51:O51"/>
    <mergeCell ref="A55:C55"/>
    <mergeCell ref="I10:O10"/>
    <mergeCell ref="I94:L94"/>
    <mergeCell ref="E93:H93"/>
    <mergeCell ref="A78:E78"/>
    <mergeCell ref="M89:O89"/>
    <mergeCell ref="N2:O2"/>
    <mergeCell ref="G55:I55"/>
    <mergeCell ref="A59:D59"/>
    <mergeCell ref="A75:E75"/>
    <mergeCell ref="K31:O31"/>
    <mergeCell ref="G51:I51"/>
    <mergeCell ref="N52:O52"/>
    <mergeCell ref="A80:E80"/>
    <mergeCell ref="D55:F55"/>
    <mergeCell ref="I11:O11"/>
    <mergeCell ref="A84:O85"/>
    <mergeCell ref="I89:L89"/>
    <mergeCell ref="I45:O45"/>
    <mergeCell ref="G54:I54"/>
    <mergeCell ref="A20:O20"/>
    <mergeCell ref="M23:O23"/>
    <mergeCell ref="A61:D61"/>
    <mergeCell ref="I61:L61"/>
    <mergeCell ref="D54:F54"/>
    <mergeCell ref="A42:H42"/>
    <mergeCell ref="A32:E32"/>
    <mergeCell ref="A47:H47"/>
    <mergeCell ref="I47:O47"/>
    <mergeCell ref="M58:O58"/>
    <mergeCell ref="A24:C24"/>
    <mergeCell ref="A90:D90"/>
    <mergeCell ref="A51:C51"/>
    <mergeCell ref="F77:J77"/>
    <mergeCell ref="A81:E81"/>
    <mergeCell ref="A64:O64"/>
    <mergeCell ref="N6:O6"/>
    <mergeCell ref="J51:K51"/>
    <mergeCell ref="E90:H90"/>
    <mergeCell ref="A31:E31"/>
    <mergeCell ref="N55:O55"/>
    <mergeCell ref="N4:O4"/>
    <mergeCell ref="A73:E73"/>
    <mergeCell ref="A91:D91"/>
    <mergeCell ref="K33:O33"/>
    <mergeCell ref="G53:I53"/>
    <mergeCell ref="N54:O54"/>
    <mergeCell ref="A82:E82"/>
    <mergeCell ref="A93:D93"/>
    <mergeCell ref="I59:L59"/>
    <mergeCell ref="I60:L60"/>
    <mergeCell ref="K76:O76"/>
    <mergeCell ref="A92:D92"/>
    <mergeCell ref="A22:C22"/>
    <mergeCell ref="A41:H41"/>
    <mergeCell ref="M61:O61"/>
    <mergeCell ref="F79:J79"/>
    <mergeCell ref="A17:O17"/>
    <mergeCell ref="F32:J32"/>
    <mergeCell ref="K75:O75"/>
    <mergeCell ref="M62:O62"/>
    <mergeCell ref="D51:F51"/>
    <mergeCell ref="A94:D94"/>
    <mergeCell ref="A69:O70"/>
    <mergeCell ref="E92:H92"/>
    <mergeCell ref="G22:I22"/>
    <mergeCell ref="K77:O77"/>
    <mergeCell ref="F81:J81"/>
    <mergeCell ref="A68:O68"/>
    <mergeCell ref="E94:H94"/>
    <mergeCell ref="A1:A5"/>
    <mergeCell ref="A9:O9"/>
    <mergeCell ref="C1:L1"/>
    <mergeCell ref="M59:O59"/>
    <mergeCell ref="A86:O87"/>
    <mergeCell ref="L52:M52"/>
    <mergeCell ref="A89:D89"/>
    <mergeCell ref="A72:E72"/>
    <mergeCell ref="D22:F22"/>
    <mergeCell ref="A10:H10"/>
    <mergeCell ref="G23:I23"/>
    <mergeCell ref="F82:J82"/>
    <mergeCell ref="I12:O12"/>
    <mergeCell ref="I62:L62"/>
    <mergeCell ref="J52:K52"/>
    <mergeCell ref="E89:H89"/>
    <mergeCell ref="A54:C54"/>
    <mergeCell ref="M60:O60"/>
    <mergeCell ref="I14:O14"/>
    <mergeCell ref="A96:O97"/>
    <mergeCell ref="M90:O90"/>
    <mergeCell ref="A11:H11"/>
    <mergeCell ref="A45:H45"/>
    <mergeCell ref="K79:O79"/>
    <mergeCell ref="I13:O13"/>
    <mergeCell ref="A105:O105"/>
    <mergeCell ref="I40:O40"/>
    <mergeCell ref="J22:L22"/>
    <mergeCell ref="E58:H58"/>
    <mergeCell ref="K81:O81"/>
    <mergeCell ref="F80:J80"/>
    <mergeCell ref="I15:O15"/>
    <mergeCell ref="A53:C53"/>
    <mergeCell ref="A46:H46"/>
    <mergeCell ref="M91:O91"/>
    <mergeCell ref="J55:K55"/>
    <mergeCell ref="A74:E74"/>
    <mergeCell ref="N1:O1"/>
    <mergeCell ref="L55:M55"/>
    <mergeCell ref="D24:F24"/>
    <mergeCell ref="A12:H12"/>
    <mergeCell ref="L51:M51"/>
    <mergeCell ref="J54:K54"/>
    <mergeCell ref="M93:O93"/>
    <mergeCell ref="L54:M54"/>
    <mergeCell ref="A33:E33"/>
    <mergeCell ref="J23:L23"/>
    <mergeCell ref="F72:J72"/>
    <mergeCell ref="A76:E76"/>
    <mergeCell ref="I91:L91"/>
    <mergeCell ref="A14:H14"/>
    <mergeCell ref="M92:O92"/>
    <mergeCell ref="E60:H60"/>
    <mergeCell ref="I93:L93"/>
    <mergeCell ref="C4:L6"/>
    <mergeCell ref="A43:H43"/>
    <mergeCell ref="A49:O49"/>
    <mergeCell ref="E59:H59"/>
    <mergeCell ref="I92:L92"/>
    <mergeCell ref="D52:F52"/>
    <mergeCell ref="I42:O42"/>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Arboleda Genes</dc:creator>
  <dcterms:created xsi:type="dcterms:W3CDTF">2022-01-25T18:39:15Z</dcterms:created>
  <dcterms:modified xsi:type="dcterms:W3CDTF">2026-09-17T15:27:23Z</dcterms:modified>
  <cp:lastModifiedBy>JAG DESIGN</cp:lastModifiedBy>
  <cp:lastPrinted>2026-07-23T18:36:47Z</cp:lastPrinted>
</cp:coreProperties>
</file>