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2e90018362cd82/Escritorio/Ordenar/HVAC/Calculos/Emisiones/3.0 HV-HOJAS DE DATOS/"/>
    </mc:Choice>
  </mc:AlternateContent>
  <xr:revisionPtr revIDLastSave="40" documentId="8_{A5C321F7-E801-47C7-A144-C5EBFADE04D6}" xr6:coauthVersionLast="47" xr6:coauthVersionMax="47" xr10:uidLastSave="{7FB77E99-2EAF-453D-A644-2112B24A61BB}"/>
  <bookViews>
    <workbookView xWindow="-103" yWindow="-103" windowWidth="33120" windowHeight="18000" activeTab="1" xr2:uid="{00000000-000D-0000-FFFF-FFFF00000000}"/>
  </bookViews>
  <sheets>
    <sheet name="PORTADA" sheetId="1" r:id="rId1"/>
    <sheet name="ESPECIFICACIÓN" sheetId="2" r:id="rId2"/>
  </sheets>
  <definedNames>
    <definedName name="_xlnm.Print_Area" localSheetId="1">ESPECIFICACIÓN!$A$8:$O$64</definedName>
    <definedName name="_xlnm.Print_Area" localSheetId="0">PORTADA!$A$1:$BZ$66</definedName>
    <definedName name="_xlnm.Print_Titles" localSheetId="1">ESPECIFICACIÓN!$1:$7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B6" i="2"/>
  <c r="N5" i="2"/>
  <c r="N4" i="2"/>
  <c r="C4" i="2"/>
  <c r="N3" i="2"/>
  <c r="N2" i="2"/>
  <c r="C2" i="2"/>
  <c r="N1" i="2"/>
  <c r="C1" i="2"/>
  <c r="BD42" i="1"/>
  <c r="AP42" i="1"/>
  <c r="AT27" i="1"/>
  <c r="AW42" i="1" s="1"/>
  <c r="AF27" i="1"/>
  <c r="R27" i="1"/>
</calcChain>
</file>

<file path=xl/sharedStrings.xml><?xml version="1.0" encoding="utf-8"?>
<sst xmlns="http://schemas.openxmlformats.org/spreadsheetml/2006/main" count="136" uniqueCount="126">
  <si>
    <t>DISEÑO DE INGENIERÍA</t>
  </si>
  <si>
    <t>CODIGO:</t>
  </si>
  <si>
    <t>P2437-HV-DTS-003</t>
  </si>
  <si>
    <t>REVIZADO</t>
  </si>
  <si>
    <t>JULIO 23 DEL 2026</t>
  </si>
  <si>
    <t>REVISION:</t>
  </si>
  <si>
    <t>CERO (0)</t>
  </si>
  <si>
    <t>APROBADO</t>
  </si>
  <si>
    <t>JULIO 24 DEL 2026</t>
  </si>
  <si>
    <t>SISTEMA HVAC LABORATORIO BRINSA</t>
  </si>
  <si>
    <t>FECHA:</t>
  </si>
  <si>
    <t>ELABORO:</t>
  </si>
  <si>
    <t>J.ARBOLEDA</t>
  </si>
  <si>
    <t>HOJA DE DATOS Y ESPECIFICACIONES TÉCNICAS DE LAS REJILLAS DE EXFILTRACIÓN</t>
  </si>
  <si>
    <t>REVISO:</t>
  </si>
  <si>
    <t>F.NAVIA</t>
  </si>
  <si>
    <t>PROYECTO</t>
  </si>
  <si>
    <t>P2437</t>
  </si>
  <si>
    <t>APROBO:</t>
  </si>
  <si>
    <t>H.ROSERO</t>
  </si>
  <si>
    <t>Elaborado por:</t>
  </si>
  <si>
    <t>Revisado por:</t>
  </si>
  <si>
    <t>Aprobado por:</t>
  </si>
  <si>
    <t>Versión</t>
  </si>
  <si>
    <t>Autor</t>
  </si>
  <si>
    <t>Descripción</t>
  </si>
  <si>
    <t>Fecha de elaboración</t>
  </si>
  <si>
    <t>Fecha de revisión</t>
  </si>
  <si>
    <t>Revisado por</t>
  </si>
  <si>
    <t>Emitido para cotizacion</t>
  </si>
  <si>
    <t xml:space="preserve">REVISO:      </t>
  </si>
  <si>
    <t>PROYECTO:</t>
  </si>
  <si>
    <t>Hoja de datos: rejillas de descarga con malla anti-insectos</t>
  </si>
  <si>
    <t>Campo</t>
  </si>
  <si>
    <t>Valor</t>
  </si>
  <si>
    <t>Código</t>
  </si>
  <si>
    <t>HD-REJ-001</t>
  </si>
  <si>
    <t>Revisión</t>
  </si>
  <si>
    <t>1</t>
  </si>
  <si>
    <t>Fecha</t>
  </si>
  <si>
    <t>2026-07-27</t>
  </si>
  <si>
    <t>Proyecto</t>
  </si>
  <si>
    <t>P2437-HV-INF-001 — BRINSA, laboratorio de análisis industrial, Cajicá</t>
  </si>
  <si>
    <t>Etiqueta de equipo</t>
  </si>
  <si>
    <t>REJ-001 a REJ-003 (rejillas de descarga)</t>
  </si>
  <si>
    <t>1. Servicio</t>
  </si>
  <si>
    <t>1.1. Descarga libre a la atmósfera del caudal de ventilación del laboratorio, a través de la envolvente del recinto. Las rejillas son la trayectoria de salida permanente del aire y, con el sistema detenido, una vía potencial de ingreso: por ello incorporan malla anti-insectos. Ambiente exterior corrosivo (atmósfera clorada de planta de hipoclorito de calcio).</t>
  </si>
  <si>
    <t>2. Condiciones de operación y desempeño</t>
  </si>
  <si>
    <t>Tabla 1. Condiciones de diseño (valores congelados de la memoria de cálculo).</t>
  </si>
  <si>
    <t>Parámetro</t>
  </si>
  <si>
    <t>Cantidad</t>
  </si>
  <si>
    <t>3 unidades</t>
  </si>
  <si>
    <t>Dimensiones faciales (unitarias)</t>
  </si>
  <si>
    <t>Caudal total de descarga</t>
  </si>
  <si>
    <t>3 840 m³/h (1.0667 m³/s)</t>
  </si>
  <si>
    <t>Velocidad facial</t>
  </si>
  <si>
    <t>3 m/s</t>
  </si>
  <si>
    <t>ΔP unitaria (cierre de orificio, C_d = 0.60, en el sitio)</t>
  </si>
  <si>
    <t>11 Pa</t>
  </si>
  <si>
    <t>ΔP equivalente a densidad estándar (ρ = 1.2 kg/m³)</t>
  </si>
  <si>
    <t>15 Pa</t>
  </si>
  <si>
    <t>Densidad del aire de diseño</t>
  </si>
  <si>
    <t>0.88 kg/m³ (2 558 msnm, 74.1 kPa)</t>
  </si>
  <si>
    <t>2.1. Nota de contexto: la ΔP unitaria de 11 Pa (cierre de orificio, C_d = 0.60, a 3 m/s) es la pérdida de descarga libre a la atmósfera y se suma a la caída de presión de la etapa filtrante para definir el punto de trabajo del ventilador; no existe consigna de presión interior que sostener.</t>
  </si>
  <si>
    <t>3. Construcción y áreas netas</t>
  </si>
  <si>
    <t>Tabla 2. Especificación constructiva.</t>
  </si>
  <si>
    <t>Característica</t>
  </si>
  <si>
    <t>Especificación</t>
  </si>
  <si>
    <t>Tipo de núcleo</t>
  </si>
  <si>
    <t>Eggcrate (panal) ½×½×½ in (12.7 mm), máxima área libre</t>
  </si>
  <si>
    <t>Área libre del núcleo</t>
  </si>
  <si>
    <t>≥ 90 % (cifra repetida en catálogos del tipo; Airfoil RC-FCR5 (https://airfoil.com.au/product/removable-core-fixing-clip-eggcrate-grille-rc-fcr5/), consulta 2026-07-23)</t>
  </si>
  <si>
    <t>Malla anti-insectos</t>
  </si>
  <si>
    <t>Tejido 18×18, abertura ≈1 mm, alambre 0.45 mm, área abierta ≥ 48 % (tabla Industrial Metal Mesh (https://www.industrialmetalmesh.com/sale-54819921-micron-304-316l-stainless-steel-wire-mesh-screen-filter-mesh.html), consulta 2026-07-23); excluye insectos comunes</t>
  </si>
  <si>
    <t>Área neta combinada (núcleo + malla)</t>
  </si>
  <si>
    <t>≈ 45 % del área facial (dato típico: 0.90 × 0.50)</t>
  </si>
  <si>
    <t>Material de la rejilla</t>
  </si>
  <si>
    <t>Inox 316L (primera opción) o aluminio anodizado 6063-T5 (alternativa)</t>
  </si>
  <si>
    <t>Material de la malla</t>
  </si>
  <si>
    <t>Inox 316</t>
  </si>
  <si>
    <t>Montaje de la malla</t>
  </si>
  <si>
    <t>Marco desmontable para limpieza periódica</t>
  </si>
  <si>
    <t>Par galvánico</t>
  </si>
  <si>
    <t>Si se combina marco de aluminio con malla inox, aislamiento dieléctrico (dato típico de ingeniería)</t>
  </si>
  <si>
    <t>Ensayo de desempeño</t>
  </si>
  <si>
    <t>ASHRAE 70 (medición de rejillas)</t>
  </si>
  <si>
    <t>3.1. La malla domina la pérdida del conjunto; el dimensionamiento por área neta combinada y la ΔP calculada por cierre de orificio (11 Pa) deben verificarse contra el área efectiva (Ak) del fabricante seleccionado (por confirmar con proveedor).</t>
  </si>
  <si>
    <t>Tabla 3. Candidatos (consulta 2026-07-23).</t>
  </si>
  <si>
    <t>Producto</t>
  </si>
  <si>
    <t>Tipo / material</t>
  </si>
  <si>
    <t>Pros</t>
  </si>
  <si>
    <t>Contras</t>
  </si>
  <si>
    <t>Fuente</t>
  </si>
  <si>
    <t>Titus 50F / 50R</t>
  </si>
  <si>
    <t>Eggcrate ½ in; aluminio, con versión íntegramente inox de fábrica</t>
  </si>
  <si>
    <t>«Highest free area of any return grille»; única opción inox de catálogo</t>
  </si>
  <si>
    <t>Importación; tamaño 353×336 por pedido</t>
  </si>
  <si>
    <t>Titus 50F (PDF) (https://www.titus-hvac.com/file/1228/50F_50Rrprod_specialized_2017.pdf)</t>
  </si>
  <si>
    <t>Krueger EGC5</t>
  </si>
  <si>
    <t>Eggcrate ½ in; aluminio</t>
  </si>
  <si>
    <t>Amplia gama de tamaños (6×4 in a 96×96 in)</t>
  </si>
  <si>
    <t>Sin ejecución inox</t>
  </si>
  <si>
    <t>Krueger EGC5 (https://www.krueger-hvac.com/Catalog%20Home/Grilles/Grilles%20-%20Return/EGC5)</t>
  </si>
  <si>
    <t>ProAire S.A.S (Bogotá)</t>
  </si>
  <si>
    <t>Fabricación a medida con corte láser, inox 316</t>
  </si>
  <si>
    <t>Medida exacta 353×336 y ejecución inox 316L local; vía recomendada</t>
  </si>
  <si>
    <t>Submittal y Ak por confirmar con proveedor</t>
  </si>
  <si>
    <t>proairecolombia.com (https://www.proairecolombia.com/productos/rejillas-y-difusores.html)</t>
  </si>
  <si>
    <t>Laminaire (Colombia)</t>
  </si>
  <si>
    <t>Rejillas y difusores en aluminio a pedido</t>
  </si>
  <si>
    <t>Fabricación local con software de selección; marco para malla a pedido</t>
  </si>
  <si>
    <t>Confirmar ejecución inox</t>
  </si>
  <si>
    <t>laminaire.net (https://laminaire.net/)</t>
  </si>
  <si>
    <t>CL Ingeniería (Bogotá)</t>
  </si>
  <si>
    <t>Rejillas y accesorios HVAC</t>
  </si>
  <si>
    <t>Canal local adicional</t>
  </si>
  <si>
    <t>Catálogo genérico</t>
  </si>
  <si>
    <t>clingenieria.co (https://clingenieria.co/)</t>
  </si>
  <si>
    <t>5. Instalación</t>
  </si>
  <si>
    <t>5.2. Las bocas exteriores se orientan preferentemente a sotavento respecto de las fuentes de cloro de la planta.</t>
  </si>
  <si>
    <t>5.3. Programa de limpieza de la malla según carga de polvo observada en comisionamiento (dato típico de operación).</t>
  </si>
  <si>
    <t>6. Normas aplicables</t>
  </si>
  <si>
    <t>6.1. ASHRAE 70 (método de ensayo y reporte de desempeño de rejillas); correlación de área libre para transferencia de aire según Building Science BA-0006 (https://buildingscience.com/sites/default/files/migrate/pdf/BA-0006_Discuss_transfer_grilles.pdf) (consulta 2026-07-23); ISO 12944 / NACE-AMPP para la selección de materiales en el ambiente clorado.</t>
  </si>
  <si>
    <t>353×336 mm (área facial 0.1187 m²) o similar</t>
  </si>
  <si>
    <r>
      <t>5.1. Montaje a ras de muro exterior con marco perimetral sellado con silicona RTV neutra (compatible con hipoclorito; Chemical Resistance of RTV Silicone Sealants (PDF) (</t>
    </r>
    <r>
      <rPr>
        <i/>
        <sz val="28"/>
        <color theme="3"/>
        <rFont val="Times New Roman"/>
        <family val="1"/>
      </rPr>
      <t>https://irp.cdn-website.com/63168859/files/uploaded/Chemical%20Resistance%20of%20RTV%20Silicone%20Sealants%20Chart.pdf</t>
    </r>
    <r>
      <rPr>
        <i/>
        <sz val="28"/>
        <color rgb="FF404040"/>
        <rFont val="Times New Roman"/>
      </rPr>
      <t>), consulta 2026-07-23) y ferretería inox 316 (A4).</t>
    </r>
  </si>
  <si>
    <t>4. Proveedores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</si>
</sst>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00000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2"/>
      <name val="Verdana"/>
      <family val="2"/>
    </font>
    <font>
      <sz val="12"/>
      <color theme="1"/>
      <name val="Verdana"/>
      <family val="2"/>
    </font>
    <font>
      <sz val="12"/>
      <color rgb="FFEAEAEA"/>
      <name val="Verdana"/>
      <family val="2"/>
    </font>
    <font>
      <b/>
      <sz val="12"/>
      <color theme="1"/>
      <name val="Verdana"/>
      <family val="2"/>
    </font>
    <font>
      <b/>
      <sz val="28"/>
      <color rgb="FF375623"/>
      <name val="Times New Roman"/>
    </font>
    <font>
      <sz val="28"/>
      <name val="Times New Roman"/>
    </font>
    <font>
      <i/>
      <sz val="28"/>
      <color rgb="FF404040"/>
      <name val="Times New Roman"/>
    </font>
    <font>
      <b/>
      <sz val="28"/>
      <name val="Times New Roman"/>
    </font>
    <font>
      <sz val="11"/>
      <color theme="1"/>
      <name val="Times New Roman"/>
    </font>
    <font>
      <b/>
      <sz val="16"/>
      <color theme="1"/>
      <name val="Times New Roman"/>
    </font>
    <font>
      <sz val="12"/>
      <color rgb="FF00B050"/>
      <name val="Times New Roman"/>
    </font>
    <font>
      <b/>
      <sz val="12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22"/>
      <name val="Times New Roman"/>
      <family val="1"/>
    </font>
    <font>
      <sz val="22"/>
      <color theme="1"/>
      <name val="Calibri"/>
      <family val="2"/>
      <scheme val="minor"/>
    </font>
    <font>
      <b/>
      <sz val="28"/>
      <color theme="1"/>
      <name val="Times New Roman"/>
      <family val="1"/>
    </font>
    <font>
      <b/>
      <i/>
      <sz val="28"/>
      <color theme="1"/>
      <name val="Times New Roman"/>
      <family val="1"/>
    </font>
    <font>
      <sz val="28"/>
      <color theme="1"/>
      <name val="Times New Roman"/>
      <family val="1"/>
    </font>
    <font>
      <sz val="28"/>
      <color theme="1"/>
      <name val="Calibri"/>
      <family val="2"/>
      <scheme val="minor"/>
    </font>
    <font>
      <i/>
      <sz val="28"/>
      <color theme="3"/>
      <name val="Times New Roman"/>
      <family val="1"/>
    </font>
    <font>
      <i/>
      <sz val="28"/>
      <color rgb="FF404040"/>
      <name val="Times New Roman"/>
      <family val="1"/>
    </font>
    <font>
      <b/>
      <sz val="28"/>
      <color rgb="FF37562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43" fontId="2" fillId="0" borderId="0"/>
  </cellStyleXfs>
  <cellXfs count="98">
    <xf numFmtId="0" fontId="0" fillId="0" borderId="0" xfId="0"/>
    <xf numFmtId="0" fontId="5" fillId="0" borderId="0" xfId="2" applyFont="1"/>
    <xf numFmtId="0" fontId="5" fillId="0" borderId="0" xfId="1" applyFont="1"/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left"/>
    </xf>
    <xf numFmtId="0" fontId="6" fillId="0" borderId="0" xfId="2" applyFont="1"/>
    <xf numFmtId="0" fontId="5" fillId="0" borderId="0" xfId="1" applyFont="1" applyAlignment="1">
      <alignment horizontal="left" vertical="center"/>
    </xf>
    <xf numFmtId="1" fontId="5" fillId="0" borderId="0" xfId="1" applyNumberFormat="1" applyFont="1" applyAlignment="1">
      <alignment horizontal="center"/>
    </xf>
    <xf numFmtId="43" fontId="5" fillId="0" borderId="0" xfId="3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2" applyFont="1" applyAlignment="1">
      <alignment horizontal="right"/>
    </xf>
    <xf numFmtId="0" fontId="5" fillId="2" borderId="0" xfId="2" applyFont="1" applyFill="1"/>
    <xf numFmtId="0" fontId="12" fillId="0" borderId="0" xfId="0" applyFont="1"/>
    <xf numFmtId="0" fontId="16" fillId="0" borderId="0" xfId="1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3" fillId="0" borderId="0" xfId="0" applyFont="1"/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0" fillId="0" borderId="0" xfId="0"/>
    <xf numFmtId="0" fontId="9" fillId="0" borderId="13" xfId="0" applyFont="1" applyBorder="1" applyAlignment="1">
      <alignment horizontal="left" vertical="top" wrapText="1"/>
    </xf>
    <xf numFmtId="0" fontId="0" fillId="0" borderId="13" xfId="0" applyBorder="1"/>
    <xf numFmtId="0" fontId="8" fillId="5" borderId="1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2" fillId="0" borderId="1" xfId="0" applyFont="1" applyBorder="1" applyAlignment="1">
      <alignment horizontal="left" vertical="center" wrapText="1" indent="4"/>
    </xf>
    <xf numFmtId="0" fontId="22" fillId="0" borderId="2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0" xfId="0" applyFont="1"/>
    <xf numFmtId="0" fontId="22" fillId="0" borderId="5" xfId="0" applyFont="1" applyBorder="1"/>
    <xf numFmtId="0" fontId="22" fillId="0" borderId="6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12" xfId="0" applyFont="1" applyBorder="1"/>
    <xf numFmtId="0" fontId="18" fillId="0" borderId="13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4" fillId="0" borderId="1" xfId="1" applyNumberFormat="1" applyFont="1" applyBorder="1" applyAlignment="1" applyProtection="1">
      <alignment horizontal="left" vertical="center" indent="1"/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5" fillId="0" borderId="0" xfId="1" applyFont="1" applyAlignment="1">
      <alignment horizontal="center" vertical="center" wrapText="1"/>
    </xf>
    <xf numFmtId="0" fontId="5" fillId="0" borderId="0" xfId="1" applyFont="1"/>
    <xf numFmtId="0" fontId="7" fillId="4" borderId="1" xfId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7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2" fillId="0" borderId="9" xfId="0" applyFont="1" applyBorder="1"/>
    <xf numFmtId="0" fontId="12" fillId="0" borderId="10" xfId="0" applyFont="1" applyBorder="1"/>
    <xf numFmtId="0" fontId="3" fillId="0" borderId="1" xfId="1" applyFont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17" fillId="4" borderId="1" xfId="1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6" xfId="0" applyFont="1" applyBorder="1"/>
    <xf numFmtId="0" fontId="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0" fontId="12" fillId="0" borderId="2" xfId="0" applyFont="1" applyBorder="1"/>
    <xf numFmtId="0" fontId="12" fillId="0" borderId="4" xfId="0" applyFont="1" applyBorder="1"/>
    <xf numFmtId="0" fontId="12" fillId="0" borderId="0" xfId="0" applyFont="1"/>
    <xf numFmtId="0" fontId="12" fillId="0" borderId="5" xfId="0" applyFont="1" applyBorder="1"/>
    <xf numFmtId="0" fontId="12" fillId="0" borderId="7" xfId="0" applyFont="1" applyBorder="1"/>
    <xf numFmtId="0" fontId="12" fillId="0" borderId="8" xfId="0" applyFont="1" applyBorder="1"/>
    <xf numFmtId="165" fontId="1" fillId="0" borderId="1" xfId="1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/>
    </xf>
    <xf numFmtId="0" fontId="5" fillId="0" borderId="0" xfId="2" applyFont="1"/>
    <xf numFmtId="0" fontId="7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14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top" wrapText="1"/>
    </xf>
    <xf numFmtId="0" fontId="19" fillId="0" borderId="13" xfId="0" applyFont="1" applyBorder="1"/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vertical="center" wrapText="1"/>
    </xf>
  </cellXfs>
  <cellStyles count="4">
    <cellStyle name="Millares 2" xfId="3" xr:uid="{00000000-0005-0000-0000-000003000000}"/>
    <cellStyle name="Normal" xfId="0" builtinId="0"/>
    <cellStyle name="Normal 3 2" xfId="2" xr:uid="{00000000-0005-0000-0000-000002000000}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154215</xdr:colOff>
      <xdr:row>1</xdr:row>
      <xdr:rowOff>147735</xdr:rowOff>
    </xdr:from>
    <xdr:to>
      <xdr:col>23</xdr:col>
      <xdr:colOff>508000</xdr:colOff>
      <xdr:row>4</xdr:row>
      <xdr:rowOff>18144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072" y="466531"/>
          <a:ext cx="2530928" cy="826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99786</xdr:colOff>
      <xdr:row>0</xdr:row>
      <xdr:rowOff>117927</xdr:rowOff>
    </xdr:from>
    <xdr:to>
      <xdr:col>12</xdr:col>
      <xdr:colOff>27213</xdr:colOff>
      <xdr:row>4</xdr:row>
      <xdr:rowOff>234424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72" y="117927"/>
          <a:ext cx="2422070" cy="13864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210677</xdr:colOff>
      <xdr:row>2</xdr:row>
      <xdr:rowOff>43781</xdr:rowOff>
    </xdr:from>
    <xdr:to>
      <xdr:col>1</xdr:col>
      <xdr:colOff>2326821</xdr:colOff>
      <xdr:row>3</xdr:row>
      <xdr:rowOff>273744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7177" y="1050709"/>
          <a:ext cx="2116144" cy="733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255602</xdr:colOff>
      <xdr:row>1</xdr:row>
      <xdr:rowOff>414085</xdr:rowOff>
    </xdr:from>
    <xdr:to>
      <xdr:col>0</xdr:col>
      <xdr:colOff>2354035</xdr:colOff>
      <xdr:row>3</xdr:row>
      <xdr:rowOff>467856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540" t="12476" r="4665" b="12920"/>
        <a:stretch>
          <a:fillRect/>
        </a:stretch>
      </xdr:blipFill>
      <xdr:spPr>
        <a:xfrm>
          <a:off x="255602" y="917550"/>
          <a:ext cx="2098433" cy="10606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D54"/>
  <sheetViews>
    <sheetView showGridLines="0" view="pageBreakPreview" zoomScale="70" zoomScaleNormal="25" zoomScaleSheetLayoutView="70" workbookViewId="0">
      <selection activeCell="CB21" sqref="CB21"/>
    </sheetView>
  </sheetViews>
  <sheetFormatPr baseColWidth="10" defaultColWidth="3.15234375" defaultRowHeight="12" customHeight="1" x14ac:dyDescent="0.35"/>
  <cols>
    <col min="1" max="22" width="3.15234375" style="2" customWidth="1"/>
    <col min="23" max="23" width="5.23046875" style="2" customWidth="1"/>
    <col min="24" max="24" width="8.84375" style="2" customWidth="1"/>
    <col min="25" max="48" width="3.15234375" style="2" customWidth="1"/>
    <col min="49" max="53" width="3.15234375" style="5" customWidth="1"/>
    <col min="54" max="79" width="3.15234375" style="2" customWidth="1"/>
    <col min="80" max="80" width="54.4609375" style="2" customWidth="1"/>
    <col min="81" max="81" width="28.69140625" style="2" customWidth="1"/>
    <col min="82" max="82" width="3.15234375" style="2" customWidth="1"/>
    <col min="83" max="16384" width="3.15234375" style="2"/>
  </cols>
  <sheetData>
    <row r="1" spans="1:82" s="1" customFormat="1" ht="25" customHeight="1" x14ac:dyDescent="0.4">
      <c r="A1" s="73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88"/>
      <c r="O1" s="74"/>
      <c r="P1" s="47"/>
      <c r="Q1" s="47"/>
      <c r="R1" s="47"/>
      <c r="S1" s="47"/>
      <c r="T1" s="47"/>
      <c r="U1" s="47"/>
      <c r="V1" s="47"/>
      <c r="W1" s="47"/>
      <c r="X1" s="47"/>
      <c r="Y1" s="48"/>
      <c r="Z1" s="46" t="s">
        <v>0</v>
      </c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8"/>
      <c r="BC1" s="65" t="s">
        <v>1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7"/>
      <c r="BO1" s="52" t="s">
        <v>2</v>
      </c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4"/>
      <c r="CB1" s="11" t="s">
        <v>3</v>
      </c>
      <c r="CC1" s="12" t="s">
        <v>4</v>
      </c>
    </row>
    <row r="2" spans="1:82" s="1" customFormat="1" ht="25" customHeight="1" x14ac:dyDescent="0.4">
      <c r="A2" s="69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  <c r="N2" s="69"/>
      <c r="O2" s="76"/>
      <c r="P2" s="89"/>
      <c r="Q2" s="89"/>
      <c r="R2" s="89"/>
      <c r="S2" s="89"/>
      <c r="T2" s="89"/>
      <c r="U2" s="89"/>
      <c r="V2" s="89"/>
      <c r="W2" s="89"/>
      <c r="X2" s="89"/>
      <c r="Y2" s="59"/>
      <c r="Z2" s="49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1"/>
      <c r="BC2" s="65" t="s">
        <v>5</v>
      </c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7"/>
      <c r="BO2" s="52" t="s">
        <v>6</v>
      </c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4"/>
      <c r="CB2" s="11" t="s">
        <v>7</v>
      </c>
      <c r="CC2" s="12" t="s">
        <v>8</v>
      </c>
    </row>
    <row r="3" spans="1:82" s="1" customFormat="1" ht="25" customHeight="1" x14ac:dyDescent="0.4">
      <c r="A3" s="69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  <c r="N3" s="69"/>
      <c r="O3" s="76"/>
      <c r="P3" s="89"/>
      <c r="Q3" s="89"/>
      <c r="R3" s="89"/>
      <c r="S3" s="89"/>
      <c r="T3" s="89"/>
      <c r="U3" s="89"/>
      <c r="V3" s="89"/>
      <c r="W3" s="89"/>
      <c r="X3" s="89"/>
      <c r="Y3" s="59"/>
      <c r="Z3" s="46" t="s">
        <v>9</v>
      </c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8"/>
      <c r="BC3" s="65" t="s">
        <v>10</v>
      </c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7"/>
      <c r="BO3" s="52" t="s">
        <v>4</v>
      </c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4"/>
    </row>
    <row r="4" spans="1:82" s="1" customFormat="1" ht="25" customHeight="1" x14ac:dyDescent="0.4">
      <c r="A4" s="69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  <c r="N4" s="69"/>
      <c r="O4" s="76"/>
      <c r="P4" s="89"/>
      <c r="Q4" s="89"/>
      <c r="R4" s="89"/>
      <c r="S4" s="89"/>
      <c r="T4" s="89"/>
      <c r="U4" s="89"/>
      <c r="V4" s="89"/>
      <c r="W4" s="89"/>
      <c r="X4" s="89"/>
      <c r="Y4" s="59"/>
      <c r="Z4" s="49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1"/>
      <c r="BC4" s="65" t="s">
        <v>11</v>
      </c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7"/>
      <c r="BO4" s="52" t="s">
        <v>12</v>
      </c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4"/>
    </row>
    <row r="5" spans="1:82" s="1" customFormat="1" ht="25" customHeight="1" x14ac:dyDescent="0.4">
      <c r="A5" s="70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9"/>
      <c r="N5" s="70"/>
      <c r="O5" s="78"/>
      <c r="P5" s="50"/>
      <c r="Q5" s="50"/>
      <c r="R5" s="50"/>
      <c r="S5" s="50"/>
      <c r="T5" s="50"/>
      <c r="U5" s="50"/>
      <c r="V5" s="50"/>
      <c r="W5" s="50"/>
      <c r="X5" s="50"/>
      <c r="Y5" s="51"/>
      <c r="Z5" s="87" t="s">
        <v>13</v>
      </c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8"/>
      <c r="BC5" s="65" t="s">
        <v>14</v>
      </c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7"/>
      <c r="BO5" s="52" t="s">
        <v>15</v>
      </c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4"/>
    </row>
    <row r="6" spans="1:82" s="1" customFormat="1" ht="25" customHeight="1" x14ac:dyDescent="0.4">
      <c r="A6" s="62" t="s">
        <v>16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4"/>
      <c r="N6" s="62" t="s">
        <v>17</v>
      </c>
      <c r="O6" s="63"/>
      <c r="P6" s="66"/>
      <c r="Q6" s="66"/>
      <c r="R6" s="66"/>
      <c r="S6" s="66"/>
      <c r="T6" s="66"/>
      <c r="U6" s="66"/>
      <c r="V6" s="66"/>
      <c r="W6" s="66"/>
      <c r="X6" s="66"/>
      <c r="Y6" s="67"/>
      <c r="Z6" s="49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1"/>
      <c r="BC6" s="65" t="s">
        <v>18</v>
      </c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7"/>
      <c r="BO6" s="52" t="s">
        <v>19</v>
      </c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4"/>
    </row>
    <row r="7" spans="1:82" ht="15" customHeight="1" x14ac:dyDescent="0.4">
      <c r="A7" s="13"/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  <c r="AD7" s="3"/>
      <c r="AE7" s="3"/>
      <c r="AF7" s="3"/>
      <c r="CD7" s="6"/>
    </row>
    <row r="8" spans="1:82" ht="15" customHeight="1" x14ac:dyDescent="0.4">
      <c r="A8" s="13"/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3"/>
      <c r="AE8" s="3"/>
      <c r="AF8" s="3"/>
      <c r="CD8" s="6"/>
    </row>
    <row r="9" spans="1:82" ht="15" customHeight="1" x14ac:dyDescent="0.4">
      <c r="A9" s="13"/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  <c r="AD9" s="3"/>
      <c r="AE9" s="3"/>
      <c r="AF9" s="3"/>
      <c r="CD9" s="6"/>
    </row>
    <row r="10" spans="1:82" ht="15" customHeight="1" x14ac:dyDescent="0.4">
      <c r="A10" s="13"/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  <c r="AD10" s="3"/>
      <c r="AE10" s="3"/>
      <c r="AF10" s="3"/>
      <c r="CD10" s="6"/>
    </row>
    <row r="11" spans="1:82" ht="15" customHeight="1" x14ac:dyDescent="0.4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  <c r="AD11" s="3"/>
      <c r="AE11" s="3"/>
      <c r="AF11" s="3"/>
      <c r="CD11" s="6"/>
    </row>
    <row r="12" spans="1:82" ht="15" customHeight="1" x14ac:dyDescent="0.4">
      <c r="A12" s="13"/>
      <c r="B12" s="13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3"/>
      <c r="AE12" s="3"/>
      <c r="AF12" s="3"/>
      <c r="CD12" s="6"/>
    </row>
    <row r="13" spans="1:82" ht="15" customHeight="1" x14ac:dyDescent="0.4">
      <c r="A13" s="13"/>
      <c r="B13" s="13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  <c r="AD13" s="3"/>
      <c r="AE13" s="3"/>
      <c r="AF13" s="3"/>
      <c r="CD13" s="6"/>
    </row>
    <row r="14" spans="1:82" ht="15" customHeight="1" x14ac:dyDescent="0.4">
      <c r="A14" s="13"/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3"/>
      <c r="AE14" s="3"/>
      <c r="AF14" s="3"/>
      <c r="CD14" s="6"/>
    </row>
    <row r="15" spans="1:82" ht="15" customHeight="1" x14ac:dyDescent="0.4">
      <c r="A15" s="13"/>
      <c r="B15" s="13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  <c r="AD15" s="3"/>
      <c r="AE15" s="3"/>
      <c r="AF15" s="3"/>
      <c r="CD15" s="6"/>
    </row>
    <row r="16" spans="1:82" ht="15" customHeight="1" x14ac:dyDescent="0.4">
      <c r="A16" s="13"/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3"/>
      <c r="AE16" s="3"/>
      <c r="AF16" s="3"/>
      <c r="CD16" s="6"/>
    </row>
    <row r="17" spans="1:82" ht="15" customHeight="1" x14ac:dyDescent="0.4">
      <c r="A17" s="13"/>
      <c r="B17" s="13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  <c r="AD17" s="3"/>
      <c r="AE17" s="3"/>
      <c r="AF17" s="3"/>
      <c r="CD17" s="6"/>
    </row>
    <row r="18" spans="1:82" ht="15" customHeight="1" x14ac:dyDescent="0.4">
      <c r="A18" s="13"/>
      <c r="B18" s="13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  <c r="AD18" s="3"/>
      <c r="AE18" s="3"/>
      <c r="AF18" s="3"/>
      <c r="CD18" s="6"/>
    </row>
    <row r="19" spans="1:82" ht="15" customHeight="1" x14ac:dyDescent="0.4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  <c r="AD19" s="3"/>
      <c r="AE19" s="3"/>
      <c r="AF19" s="3"/>
      <c r="CD19" s="6"/>
    </row>
    <row r="20" spans="1:82" ht="15" customHeight="1" x14ac:dyDescent="0.4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  <c r="AD20" s="3"/>
      <c r="AE20" s="3"/>
      <c r="AF20" s="3"/>
      <c r="CD20" s="6"/>
    </row>
    <row r="21" spans="1:82" ht="15" customHeight="1" x14ac:dyDescent="0.4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3"/>
      <c r="Q21" s="3"/>
      <c r="R21" s="60" t="s">
        <v>20</v>
      </c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8"/>
      <c r="AF21" s="60" t="s">
        <v>21</v>
      </c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8"/>
      <c r="AT21" s="60" t="s">
        <v>22</v>
      </c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8"/>
    </row>
    <row r="22" spans="1:82" ht="15" customHeight="1" x14ac:dyDescent="0.4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3"/>
      <c r="Q22" s="3"/>
      <c r="R22" s="58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9"/>
      <c r="AF22" s="58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9"/>
      <c r="AT22" s="58"/>
      <c r="AU22" s="56"/>
      <c r="AV22" s="56"/>
      <c r="AW22" s="61"/>
      <c r="AX22" s="61"/>
      <c r="AY22" s="61"/>
      <c r="AZ22" s="61"/>
      <c r="BA22" s="61"/>
      <c r="BB22" s="56"/>
      <c r="BC22" s="56"/>
      <c r="BD22" s="56"/>
      <c r="BE22" s="56"/>
      <c r="BF22" s="56"/>
      <c r="BG22" s="59"/>
    </row>
    <row r="23" spans="1:82" ht="15" customHeight="1" x14ac:dyDescent="0.4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3"/>
      <c r="Q23" s="3"/>
      <c r="R23" s="49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1"/>
      <c r="AF23" s="49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1"/>
      <c r="AT23" s="49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1"/>
    </row>
    <row r="24" spans="1:82" ht="15" customHeight="1" x14ac:dyDescent="0.4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3"/>
      <c r="Q24" s="3"/>
      <c r="R24" s="90" t="s">
        <v>12</v>
      </c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8"/>
      <c r="AF24" s="71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8"/>
      <c r="AT24" s="71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8"/>
    </row>
    <row r="25" spans="1:82" ht="15" customHeight="1" x14ac:dyDescent="0.4">
      <c r="A25" s="13"/>
      <c r="B25" s="13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3"/>
      <c r="Q25" s="3"/>
      <c r="R25" s="58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9"/>
      <c r="AF25" s="58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9"/>
      <c r="AT25" s="58"/>
      <c r="AU25" s="56"/>
      <c r="AV25" s="56"/>
      <c r="AW25" s="61"/>
      <c r="AX25" s="61"/>
      <c r="AY25" s="61"/>
      <c r="AZ25" s="61"/>
      <c r="BA25" s="61"/>
      <c r="BB25" s="56"/>
      <c r="BC25" s="56"/>
      <c r="BD25" s="56"/>
      <c r="BE25" s="56"/>
      <c r="BF25" s="56"/>
      <c r="BG25" s="59"/>
    </row>
    <row r="26" spans="1:82" ht="15" customHeight="1" x14ac:dyDescent="0.4">
      <c r="A26" s="13"/>
      <c r="B26" s="13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3"/>
      <c r="Q26" s="3"/>
      <c r="R26" s="49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1"/>
      <c r="AF26" s="49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1"/>
      <c r="AT26" s="49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1"/>
    </row>
    <row r="27" spans="1:82" ht="15" customHeight="1" x14ac:dyDescent="0.4">
      <c r="A27" s="13"/>
      <c r="B27" s="13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3"/>
      <c r="Q27" s="3"/>
      <c r="R27" s="71" t="str">
        <f>"Fecha :"&amp;BO3</f>
        <v>Fecha :JULIO 23 DEL 2026</v>
      </c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8"/>
      <c r="AF27" s="71" t="str">
        <f>"Fecha :"&amp;CC1</f>
        <v>Fecha :JULIO 23 DEL 2026</v>
      </c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8"/>
      <c r="AT27" s="71" t="str">
        <f>"Fecha :"&amp;CC2</f>
        <v>Fecha :JULIO 24 DEL 2026</v>
      </c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8"/>
    </row>
    <row r="28" spans="1:82" ht="15" customHeight="1" x14ac:dyDescent="0.4">
      <c r="A28" s="13"/>
      <c r="B28" s="13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3"/>
      <c r="Q28" s="3"/>
      <c r="R28" s="58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9"/>
      <c r="AF28" s="58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9"/>
      <c r="AT28" s="58"/>
      <c r="AU28" s="56"/>
      <c r="AV28" s="56"/>
      <c r="AW28" s="61"/>
      <c r="AX28" s="61"/>
      <c r="AY28" s="61"/>
      <c r="AZ28" s="61"/>
      <c r="BA28" s="61"/>
      <c r="BB28" s="56"/>
      <c r="BC28" s="56"/>
      <c r="BD28" s="56"/>
      <c r="BE28" s="56"/>
      <c r="BF28" s="56"/>
      <c r="BG28" s="59"/>
    </row>
    <row r="29" spans="1:82" ht="15" customHeight="1" x14ac:dyDescent="0.4">
      <c r="A29" s="13"/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3"/>
      <c r="Q29" s="3"/>
      <c r="R29" s="49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1"/>
      <c r="AF29" s="49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1"/>
      <c r="AT29" s="49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1"/>
    </row>
    <row r="30" spans="1:82" ht="15" customHeight="1" x14ac:dyDescent="0.4">
      <c r="A30" s="13"/>
      <c r="B30" s="13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  <c r="AD30" s="3"/>
      <c r="AE30" s="3"/>
      <c r="AF30" s="3"/>
    </row>
    <row r="31" spans="1:82" ht="15" customHeight="1" x14ac:dyDescent="0.4">
      <c r="A31" s="13"/>
      <c r="B31" s="13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  <c r="AD31" s="3"/>
      <c r="AE31" s="3"/>
      <c r="AF31" s="3"/>
    </row>
    <row r="32" spans="1:82" ht="15" customHeight="1" x14ac:dyDescent="0.4">
      <c r="A32" s="13"/>
      <c r="B32" s="13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  <c r="AD32" s="3"/>
      <c r="AE32" s="3"/>
      <c r="AF32" s="3"/>
    </row>
    <row r="33" spans="1:78" ht="15" customHeight="1" x14ac:dyDescent="0.4">
      <c r="A33" s="13"/>
      <c r="B33" s="13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  <c r="AD33" s="3"/>
      <c r="AE33" s="3"/>
      <c r="AF33" s="3"/>
    </row>
    <row r="34" spans="1:78" ht="15" customHeight="1" x14ac:dyDescent="0.4">
      <c r="A34" s="13"/>
      <c r="B34" s="13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  <c r="AD34" s="3"/>
      <c r="AE34" s="3"/>
      <c r="AF34" s="3"/>
    </row>
    <row r="35" spans="1:78" ht="15" customHeight="1" x14ac:dyDescent="0.4">
      <c r="A35" s="13"/>
      <c r="B35" s="13"/>
      <c r="C35" s="13"/>
      <c r="D35" s="13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/>
      <c r="AD35" s="3"/>
      <c r="AE35" s="3"/>
      <c r="AF35" s="3"/>
    </row>
    <row r="36" spans="1:78" ht="15" customHeight="1" x14ac:dyDescent="0.4">
      <c r="A36" s="13"/>
      <c r="B36" s="13"/>
      <c r="C36" s="13"/>
      <c r="D36" s="13"/>
      <c r="E36" s="13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4"/>
      <c r="AD36" s="3"/>
      <c r="AE36" s="3"/>
      <c r="AF36" s="3"/>
      <c r="BK36" s="91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</row>
    <row r="37" spans="1:78" ht="15" customHeight="1" x14ac:dyDescent="0.4">
      <c r="A37" s="13"/>
      <c r="B37" s="13"/>
      <c r="C37" s="13"/>
      <c r="D37" s="13"/>
      <c r="E37" s="13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/>
      <c r="AD37" s="3"/>
      <c r="AE37" s="3"/>
      <c r="AF37" s="3"/>
    </row>
    <row r="38" spans="1:78" ht="15" customHeight="1" x14ac:dyDescent="0.4">
      <c r="A38" s="13"/>
      <c r="B38" s="13"/>
      <c r="C38" s="13"/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  <c r="AD38" s="3"/>
      <c r="AE38" s="3"/>
      <c r="AF38" s="3"/>
    </row>
    <row r="39" spans="1:78" ht="15" customHeight="1" x14ac:dyDescent="0.4">
      <c r="A39" s="13"/>
      <c r="B39" s="13"/>
      <c r="C39" s="13"/>
      <c r="D39" s="13"/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68" t="s">
        <v>23</v>
      </c>
      <c r="P39" s="47"/>
      <c r="Q39" s="47"/>
      <c r="R39" s="47"/>
      <c r="S39" s="47"/>
      <c r="T39" s="47"/>
      <c r="U39" s="48"/>
      <c r="V39" s="57" t="s">
        <v>24</v>
      </c>
      <c r="W39" s="47"/>
      <c r="X39" s="47"/>
      <c r="Y39" s="47"/>
      <c r="Z39" s="47"/>
      <c r="AA39" s="47"/>
      <c r="AB39" s="48"/>
      <c r="AC39" s="82" t="s">
        <v>25</v>
      </c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8"/>
      <c r="AP39" s="57" t="s">
        <v>26</v>
      </c>
      <c r="AQ39" s="47"/>
      <c r="AR39" s="47"/>
      <c r="AS39" s="47"/>
      <c r="AT39" s="47"/>
      <c r="AU39" s="47"/>
      <c r="AV39" s="48"/>
      <c r="AW39" s="57" t="s">
        <v>27</v>
      </c>
      <c r="AX39" s="47"/>
      <c r="AY39" s="47"/>
      <c r="AZ39" s="47"/>
      <c r="BA39" s="47"/>
      <c r="BB39" s="47"/>
      <c r="BC39" s="48"/>
      <c r="BD39" s="57" t="s">
        <v>28</v>
      </c>
      <c r="BE39" s="47"/>
      <c r="BF39" s="47"/>
      <c r="BG39" s="47"/>
      <c r="BH39" s="47"/>
      <c r="BI39" s="47"/>
      <c r="BJ39" s="48"/>
    </row>
    <row r="40" spans="1:78" ht="15" customHeight="1" x14ac:dyDescent="0.4">
      <c r="A40" s="13"/>
      <c r="B40" s="13"/>
      <c r="C40" s="13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69"/>
      <c r="P40" s="56"/>
      <c r="Q40" s="56"/>
      <c r="R40" s="56"/>
      <c r="S40" s="56"/>
      <c r="T40" s="56"/>
      <c r="U40" s="59"/>
      <c r="V40" s="58"/>
      <c r="W40" s="56"/>
      <c r="X40" s="56"/>
      <c r="Y40" s="56"/>
      <c r="Z40" s="56"/>
      <c r="AA40" s="56"/>
      <c r="AB40" s="59"/>
      <c r="AC40" s="58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9"/>
      <c r="AP40" s="58"/>
      <c r="AQ40" s="56"/>
      <c r="AR40" s="56"/>
      <c r="AS40" s="56"/>
      <c r="AT40" s="56"/>
      <c r="AU40" s="56"/>
      <c r="AV40" s="59"/>
      <c r="AW40" s="58"/>
      <c r="AX40" s="61"/>
      <c r="AY40" s="61"/>
      <c r="AZ40" s="61"/>
      <c r="BA40" s="61"/>
      <c r="BB40" s="56"/>
      <c r="BC40" s="59"/>
      <c r="BD40" s="58"/>
      <c r="BE40" s="56"/>
      <c r="BF40" s="56"/>
      <c r="BG40" s="56"/>
      <c r="BH40" s="56"/>
      <c r="BI40" s="56"/>
      <c r="BJ40" s="59"/>
    </row>
    <row r="41" spans="1:78" ht="15" customHeight="1" x14ac:dyDescent="0.4">
      <c r="A41" s="13"/>
      <c r="B41" s="13"/>
      <c r="C41" s="13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70"/>
      <c r="P41" s="50"/>
      <c r="Q41" s="50"/>
      <c r="R41" s="50"/>
      <c r="S41" s="50"/>
      <c r="T41" s="50"/>
      <c r="U41" s="51"/>
      <c r="V41" s="49"/>
      <c r="W41" s="50"/>
      <c r="X41" s="50"/>
      <c r="Y41" s="50"/>
      <c r="Z41" s="50"/>
      <c r="AA41" s="50"/>
      <c r="AB41" s="51"/>
      <c r="AC41" s="49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1"/>
      <c r="AP41" s="49"/>
      <c r="AQ41" s="50"/>
      <c r="AR41" s="50"/>
      <c r="AS41" s="50"/>
      <c r="AT41" s="50"/>
      <c r="AU41" s="50"/>
      <c r="AV41" s="51"/>
      <c r="AW41" s="49"/>
      <c r="AX41" s="50"/>
      <c r="AY41" s="50"/>
      <c r="AZ41" s="50"/>
      <c r="BA41" s="50"/>
      <c r="BB41" s="50"/>
      <c r="BC41" s="51"/>
      <c r="BD41" s="49"/>
      <c r="BE41" s="50"/>
      <c r="BF41" s="50"/>
      <c r="BG41" s="50"/>
      <c r="BH41" s="50"/>
      <c r="BI41" s="50"/>
      <c r="BJ41" s="51"/>
    </row>
    <row r="42" spans="1:78" ht="15" customHeight="1" x14ac:dyDescent="0.4">
      <c r="A42" s="13"/>
      <c r="B42" s="13"/>
      <c r="C42" s="13"/>
      <c r="D42" s="13"/>
      <c r="E42" s="13"/>
      <c r="F42" s="13"/>
      <c r="G42" s="14"/>
      <c r="H42" s="14"/>
      <c r="I42" s="14"/>
      <c r="J42" s="14"/>
      <c r="K42" s="14"/>
      <c r="L42" s="14"/>
      <c r="M42" s="14"/>
      <c r="N42" s="14"/>
      <c r="O42" s="83" t="s">
        <v>6</v>
      </c>
      <c r="P42" s="47"/>
      <c r="Q42" s="47"/>
      <c r="R42" s="47"/>
      <c r="S42" s="47"/>
      <c r="T42" s="47"/>
      <c r="U42" s="48"/>
      <c r="V42" s="93" t="s">
        <v>12</v>
      </c>
      <c r="W42" s="47"/>
      <c r="X42" s="47"/>
      <c r="Y42" s="47"/>
      <c r="Z42" s="47"/>
      <c r="AA42" s="47"/>
      <c r="AB42" s="48"/>
      <c r="AC42" s="81" t="s">
        <v>29</v>
      </c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8"/>
      <c r="AP42" s="92" t="str">
        <f>BO3</f>
        <v>JULIO 23 DEL 2026</v>
      </c>
      <c r="AQ42" s="47"/>
      <c r="AR42" s="47"/>
      <c r="AS42" s="47"/>
      <c r="AT42" s="47"/>
      <c r="AU42" s="47"/>
      <c r="AV42" s="48"/>
      <c r="AW42" s="92" t="str">
        <f>AT27</f>
        <v>Fecha :JULIO 24 DEL 2026</v>
      </c>
      <c r="AX42" s="47"/>
      <c r="AY42" s="47"/>
      <c r="AZ42" s="47"/>
      <c r="BA42" s="47"/>
      <c r="BB42" s="47"/>
      <c r="BC42" s="48"/>
      <c r="BD42" s="80" t="str">
        <f>BO5</f>
        <v>F.NAVIA</v>
      </c>
      <c r="BE42" s="47"/>
      <c r="BF42" s="47"/>
      <c r="BG42" s="47"/>
      <c r="BH42" s="47"/>
      <c r="BI42" s="47"/>
      <c r="BJ42" s="48"/>
    </row>
    <row r="43" spans="1:78" ht="15" customHeight="1" x14ac:dyDescent="0.4">
      <c r="A43" s="13"/>
      <c r="B43" s="13"/>
      <c r="C43" s="13"/>
      <c r="D43" s="13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69"/>
      <c r="P43" s="56"/>
      <c r="Q43" s="56"/>
      <c r="R43" s="56"/>
      <c r="S43" s="56"/>
      <c r="T43" s="56"/>
      <c r="U43" s="59"/>
      <c r="V43" s="58"/>
      <c r="W43" s="56"/>
      <c r="X43" s="56"/>
      <c r="Y43" s="56"/>
      <c r="Z43" s="56"/>
      <c r="AA43" s="56"/>
      <c r="AB43" s="59"/>
      <c r="AC43" s="58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9"/>
      <c r="AP43" s="58"/>
      <c r="AQ43" s="56"/>
      <c r="AR43" s="56"/>
      <c r="AS43" s="56"/>
      <c r="AT43" s="56"/>
      <c r="AU43" s="56"/>
      <c r="AV43" s="59"/>
      <c r="AW43" s="58"/>
      <c r="AX43" s="61"/>
      <c r="AY43" s="61"/>
      <c r="AZ43" s="61"/>
      <c r="BA43" s="61"/>
      <c r="BB43" s="56"/>
      <c r="BC43" s="59"/>
      <c r="BD43" s="58"/>
      <c r="BE43" s="56"/>
      <c r="BF43" s="56"/>
      <c r="BG43" s="56"/>
      <c r="BH43" s="56"/>
      <c r="BI43" s="56"/>
      <c r="BJ43" s="59"/>
      <c r="BP43" s="91"/>
      <c r="BQ43" s="56"/>
      <c r="BR43" s="56"/>
      <c r="BS43" s="56"/>
      <c r="BT43" s="56"/>
      <c r="BU43" s="56"/>
      <c r="BV43" s="56"/>
    </row>
    <row r="44" spans="1:78" ht="15" customHeight="1" x14ac:dyDescent="0.4">
      <c r="A44" s="13"/>
      <c r="B44" s="13"/>
      <c r="C44" s="13"/>
      <c r="D44" s="13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70"/>
      <c r="P44" s="50"/>
      <c r="Q44" s="50"/>
      <c r="R44" s="50"/>
      <c r="S44" s="50"/>
      <c r="T44" s="50"/>
      <c r="U44" s="51"/>
      <c r="V44" s="49"/>
      <c r="W44" s="50"/>
      <c r="X44" s="50"/>
      <c r="Y44" s="50"/>
      <c r="Z44" s="50"/>
      <c r="AA44" s="50"/>
      <c r="AB44" s="51"/>
      <c r="AC44" s="49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1"/>
      <c r="AP44" s="49"/>
      <c r="AQ44" s="50"/>
      <c r="AR44" s="50"/>
      <c r="AS44" s="50"/>
      <c r="AT44" s="50"/>
      <c r="AU44" s="50"/>
      <c r="AV44" s="51"/>
      <c r="AW44" s="49"/>
      <c r="AX44" s="50"/>
      <c r="AY44" s="50"/>
      <c r="AZ44" s="50"/>
      <c r="BA44" s="50"/>
      <c r="BB44" s="50"/>
      <c r="BC44" s="51"/>
      <c r="BD44" s="49"/>
      <c r="BE44" s="50"/>
      <c r="BF44" s="50"/>
      <c r="BG44" s="50"/>
      <c r="BH44" s="50"/>
      <c r="BI44" s="50"/>
      <c r="BJ44" s="51"/>
    </row>
    <row r="45" spans="1:78" ht="15" customHeight="1" x14ac:dyDescent="0.4">
      <c r="A45" s="13"/>
      <c r="B45" s="13"/>
      <c r="C45" s="13"/>
      <c r="D45" s="13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72"/>
      <c r="P45" s="47"/>
      <c r="Q45" s="47"/>
      <c r="R45" s="47"/>
      <c r="S45" s="47"/>
      <c r="T45" s="47"/>
      <c r="U45" s="48"/>
      <c r="V45" s="84"/>
      <c r="W45" s="47"/>
      <c r="X45" s="47"/>
      <c r="Y45" s="47"/>
      <c r="Z45" s="47"/>
      <c r="AA45" s="47"/>
      <c r="AB45" s="48"/>
      <c r="AC45" s="85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8"/>
      <c r="AP45" s="84"/>
      <c r="AQ45" s="47"/>
      <c r="AR45" s="47"/>
      <c r="AS45" s="47"/>
      <c r="AT45" s="47"/>
      <c r="AU45" s="47"/>
      <c r="AV45" s="48"/>
      <c r="AW45" s="84"/>
      <c r="AX45" s="47"/>
      <c r="AY45" s="47"/>
      <c r="AZ45" s="47"/>
      <c r="BA45" s="47"/>
      <c r="BB45" s="47"/>
      <c r="BC45" s="48"/>
      <c r="BD45" s="84"/>
      <c r="BE45" s="47"/>
      <c r="BF45" s="47"/>
      <c r="BG45" s="47"/>
      <c r="BH45" s="47"/>
      <c r="BI45" s="47"/>
      <c r="BJ45" s="48"/>
    </row>
    <row r="46" spans="1:78" ht="15" customHeight="1" x14ac:dyDescent="0.4">
      <c r="A46" s="13"/>
      <c r="B46" s="13"/>
      <c r="C46" s="13"/>
      <c r="D46" s="13"/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69"/>
      <c r="P46" s="56"/>
      <c r="Q46" s="56"/>
      <c r="R46" s="56"/>
      <c r="S46" s="56"/>
      <c r="T46" s="56"/>
      <c r="U46" s="59"/>
      <c r="V46" s="58"/>
      <c r="W46" s="56"/>
      <c r="X46" s="56"/>
      <c r="Y46" s="56"/>
      <c r="Z46" s="56"/>
      <c r="AA46" s="56"/>
      <c r="AB46" s="59"/>
      <c r="AC46" s="58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9"/>
      <c r="AP46" s="58"/>
      <c r="AQ46" s="56"/>
      <c r="AR46" s="56"/>
      <c r="AS46" s="56"/>
      <c r="AT46" s="56"/>
      <c r="AU46" s="56"/>
      <c r="AV46" s="59"/>
      <c r="AW46" s="58"/>
      <c r="AX46" s="61"/>
      <c r="AY46" s="61"/>
      <c r="AZ46" s="61"/>
      <c r="BA46" s="61"/>
      <c r="BB46" s="56"/>
      <c r="BC46" s="59"/>
      <c r="BD46" s="58"/>
      <c r="BE46" s="56"/>
      <c r="BF46" s="56"/>
      <c r="BG46" s="56"/>
      <c r="BH46" s="56"/>
      <c r="BI46" s="56"/>
      <c r="BJ46" s="59"/>
    </row>
    <row r="47" spans="1:78" ht="15" customHeight="1" x14ac:dyDescent="0.4">
      <c r="A47" s="13"/>
      <c r="B47" s="13"/>
      <c r="C47" s="13"/>
      <c r="D47" s="13"/>
      <c r="E47" s="13"/>
      <c r="F47" s="13"/>
      <c r="G47" s="14"/>
      <c r="H47" s="14"/>
      <c r="I47" s="14"/>
      <c r="J47" s="14"/>
      <c r="K47" s="14"/>
      <c r="L47" s="14"/>
      <c r="M47" s="14"/>
      <c r="N47" s="14"/>
      <c r="O47" s="70"/>
      <c r="P47" s="50"/>
      <c r="Q47" s="50"/>
      <c r="R47" s="50"/>
      <c r="S47" s="50"/>
      <c r="T47" s="50"/>
      <c r="U47" s="51"/>
      <c r="V47" s="49"/>
      <c r="W47" s="50"/>
      <c r="X47" s="50"/>
      <c r="Y47" s="50"/>
      <c r="Z47" s="50"/>
      <c r="AA47" s="50"/>
      <c r="AB47" s="51"/>
      <c r="AC47" s="49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1"/>
      <c r="AP47" s="49"/>
      <c r="AQ47" s="50"/>
      <c r="AR47" s="50"/>
      <c r="AS47" s="50"/>
      <c r="AT47" s="50"/>
      <c r="AU47" s="50"/>
      <c r="AV47" s="51"/>
      <c r="AW47" s="49"/>
      <c r="AX47" s="50"/>
      <c r="AY47" s="50"/>
      <c r="AZ47" s="50"/>
      <c r="BA47" s="50"/>
      <c r="BB47" s="50"/>
      <c r="BC47" s="51"/>
      <c r="BD47" s="49"/>
      <c r="BE47" s="50"/>
      <c r="BF47" s="50"/>
      <c r="BG47" s="50"/>
      <c r="BH47" s="50"/>
      <c r="BI47" s="50"/>
      <c r="BJ47" s="51"/>
    </row>
    <row r="48" spans="1:78" ht="1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86"/>
      <c r="P48" s="56"/>
      <c r="Q48" s="56"/>
      <c r="R48" s="56"/>
      <c r="S48" s="56"/>
      <c r="T48" s="56"/>
      <c r="U48" s="56"/>
      <c r="V48" s="55"/>
      <c r="W48" s="56"/>
      <c r="X48" s="56"/>
      <c r="Y48" s="56"/>
      <c r="Z48" s="56"/>
      <c r="AA48" s="56"/>
      <c r="AB48" s="56"/>
      <c r="AC48" s="55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5"/>
      <c r="AQ48" s="56"/>
      <c r="AR48" s="56"/>
      <c r="AS48" s="56"/>
      <c r="AT48" s="56"/>
      <c r="AU48" s="56"/>
      <c r="AV48" s="56"/>
      <c r="AW48" s="55"/>
      <c r="AX48" s="61"/>
      <c r="AY48" s="61"/>
      <c r="AZ48" s="61"/>
      <c r="BA48" s="61"/>
      <c r="BB48" s="56"/>
      <c r="BC48" s="56"/>
      <c r="BD48" s="55"/>
      <c r="BE48" s="56"/>
      <c r="BF48" s="56"/>
      <c r="BG48" s="56"/>
      <c r="BH48" s="56"/>
      <c r="BI48" s="56"/>
      <c r="BJ48" s="56"/>
    </row>
    <row r="49" spans="1:70" ht="1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7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61"/>
      <c r="AX49" s="61"/>
      <c r="AY49" s="61"/>
      <c r="AZ49" s="61"/>
      <c r="BA49" s="61"/>
      <c r="BB49" s="56"/>
      <c r="BC49" s="56"/>
      <c r="BD49" s="56"/>
      <c r="BE49" s="56"/>
      <c r="BF49" s="56"/>
      <c r="BG49" s="56"/>
      <c r="BH49" s="56"/>
      <c r="BI49" s="56"/>
      <c r="BJ49" s="56"/>
    </row>
    <row r="50" spans="1:70" ht="1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7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61"/>
      <c r="AX50" s="61"/>
      <c r="AY50" s="61"/>
      <c r="AZ50" s="61"/>
      <c r="BA50" s="61"/>
      <c r="BB50" s="56"/>
      <c r="BC50" s="56"/>
      <c r="BD50" s="56"/>
      <c r="BE50" s="56"/>
      <c r="BF50" s="56"/>
      <c r="BG50" s="56"/>
      <c r="BH50" s="56"/>
      <c r="BI50" s="56"/>
      <c r="BJ50" s="56"/>
    </row>
    <row r="51" spans="1:70" ht="15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70" ht="1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BH52" s="7"/>
      <c r="BI52" s="7"/>
      <c r="BJ52" s="7"/>
      <c r="BK52" s="7"/>
      <c r="BL52" s="7"/>
      <c r="BM52" s="8"/>
      <c r="BN52" s="8"/>
      <c r="BO52" s="8"/>
      <c r="BP52" s="8"/>
      <c r="BQ52" s="8"/>
      <c r="BR52" s="8"/>
    </row>
    <row r="53" spans="1:70" ht="15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spans="1:70" ht="1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10"/>
      <c r="AQ54" s="10"/>
      <c r="AR54" s="10"/>
      <c r="AW54" s="2"/>
      <c r="AX54" s="2"/>
      <c r="AY54" s="2"/>
      <c r="AZ54" s="2"/>
      <c r="BA54" s="2"/>
    </row>
  </sheetData>
  <mergeCells count="54">
    <mergeCell ref="BO1:BZ1"/>
    <mergeCell ref="BO4:BZ4"/>
    <mergeCell ref="BP43:BV43"/>
    <mergeCell ref="Z1:BB2"/>
    <mergeCell ref="BC4:BN4"/>
    <mergeCell ref="N6:Y6"/>
    <mergeCell ref="R21:AE23"/>
    <mergeCell ref="AP42:AV44"/>
    <mergeCell ref="O48:U50"/>
    <mergeCell ref="Z5:BB6"/>
    <mergeCell ref="AF24:AS26"/>
    <mergeCell ref="BC5:BN5"/>
    <mergeCell ref="N1:Y5"/>
    <mergeCell ref="AC48:AO50"/>
    <mergeCell ref="AT24:BG26"/>
    <mergeCell ref="R24:AE26"/>
    <mergeCell ref="BK36:BZ36"/>
    <mergeCell ref="AW42:BC44"/>
    <mergeCell ref="V45:AB47"/>
    <mergeCell ref="BO2:BZ2"/>
    <mergeCell ref="AP45:AV47"/>
    <mergeCell ref="AW45:BC47"/>
    <mergeCell ref="BO3:BZ3"/>
    <mergeCell ref="BO5:BZ5"/>
    <mergeCell ref="O42:U44"/>
    <mergeCell ref="AF27:AS29"/>
    <mergeCell ref="BC3:BN3"/>
    <mergeCell ref="AT27:BG29"/>
    <mergeCell ref="BD45:BJ47"/>
    <mergeCell ref="AC45:AO47"/>
    <mergeCell ref="V42:AB44"/>
    <mergeCell ref="A6:M6"/>
    <mergeCell ref="V48:AB50"/>
    <mergeCell ref="BC1:BN1"/>
    <mergeCell ref="O39:U41"/>
    <mergeCell ref="AW39:BC41"/>
    <mergeCell ref="AW48:BC50"/>
    <mergeCell ref="AP39:AV41"/>
    <mergeCell ref="R27:AE29"/>
    <mergeCell ref="O45:U47"/>
    <mergeCell ref="A1:M5"/>
    <mergeCell ref="BD42:BJ44"/>
    <mergeCell ref="AC42:AO44"/>
    <mergeCell ref="BC6:BN6"/>
    <mergeCell ref="AF21:AS23"/>
    <mergeCell ref="BC2:BN2"/>
    <mergeCell ref="AC39:AO41"/>
    <mergeCell ref="Z3:BB4"/>
    <mergeCell ref="BO6:BZ6"/>
    <mergeCell ref="BD48:BJ50"/>
    <mergeCell ref="V39:AB41"/>
    <mergeCell ref="AT21:BG23"/>
    <mergeCell ref="BD39:BJ41"/>
    <mergeCell ref="AP48:AV50"/>
  </mergeCells>
  <printOptions horizontalCentered="1" verticalCentered="1"/>
  <pageMargins left="0.19685039370078741" right="0.19685039370078741" top="0.39370078740157483" bottom="0.39370078740157483" header="3.937007874015748E-2" footer="3.937007874015748E-2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0"/>
  <sheetViews>
    <sheetView tabSelected="1" view="pageBreakPreview" zoomScale="40" zoomScaleNormal="40" zoomScaleSheetLayoutView="40" workbookViewId="0">
      <selection activeCell="I63" sqref="I63"/>
    </sheetView>
  </sheetViews>
  <sheetFormatPr baseColWidth="10" defaultColWidth="9.23046875" defaultRowHeight="80.05" customHeight="1" x14ac:dyDescent="0.4"/>
  <cols>
    <col min="1" max="15" width="35" customWidth="1"/>
    <col min="17" max="17" width="13" customWidth="1"/>
    <col min="20" max="20" width="13" customWidth="1"/>
    <col min="22" max="29" width="13" customWidth="1"/>
    <col min="33" max="33" width="13" customWidth="1"/>
    <col min="35" max="44" width="13" customWidth="1"/>
    <col min="48" max="48" width="13" customWidth="1"/>
    <col min="50" max="55" width="13" customWidth="1"/>
    <col min="57" max="57" width="13" customWidth="1"/>
    <col min="62" max="62" width="13" customWidth="1"/>
  </cols>
  <sheetData>
    <row r="1" spans="1:15" s="22" customFormat="1" ht="40" customHeight="1" x14ac:dyDescent="0.9">
      <c r="A1" s="29"/>
      <c r="B1" s="45"/>
      <c r="C1" s="29" t="str">
        <f>PORTADA!Z1</f>
        <v>DISEÑO DE INGENIERÍA</v>
      </c>
      <c r="D1" s="30"/>
      <c r="E1" s="30"/>
      <c r="F1" s="30"/>
      <c r="G1" s="30"/>
      <c r="H1" s="30"/>
      <c r="I1" s="30"/>
      <c r="J1" s="30"/>
      <c r="K1" s="30"/>
      <c r="L1" s="31"/>
      <c r="M1" s="21" t="s">
        <v>1</v>
      </c>
      <c r="N1" s="32" t="str">
        <f>PORTADA!BO1</f>
        <v>P2437-HV-DTS-003</v>
      </c>
      <c r="O1" s="31"/>
    </row>
    <row r="2" spans="1:15" s="22" customFormat="1" ht="40" customHeight="1" x14ac:dyDescent="0.9">
      <c r="A2" s="41"/>
      <c r="B2" s="41"/>
      <c r="C2" s="29" t="str">
        <f>PORTADA!Z3</f>
        <v>SISTEMA HVAC LABORATORIO BRINSA</v>
      </c>
      <c r="D2" s="33"/>
      <c r="E2" s="33"/>
      <c r="F2" s="33"/>
      <c r="G2" s="33"/>
      <c r="H2" s="33"/>
      <c r="I2" s="33"/>
      <c r="J2" s="33"/>
      <c r="K2" s="33"/>
      <c r="L2" s="34"/>
      <c r="M2" s="21" t="s">
        <v>5</v>
      </c>
      <c r="N2" s="32" t="str">
        <f>PORTADA!BO2</f>
        <v>CERO (0)</v>
      </c>
      <c r="O2" s="31"/>
    </row>
    <row r="3" spans="1:15" s="22" customFormat="1" ht="40" customHeight="1" x14ac:dyDescent="0.9">
      <c r="A3" s="41"/>
      <c r="B3" s="41"/>
      <c r="C3" s="38"/>
      <c r="D3" s="39"/>
      <c r="E3" s="39"/>
      <c r="F3" s="39"/>
      <c r="G3" s="39"/>
      <c r="H3" s="39"/>
      <c r="I3" s="39"/>
      <c r="J3" s="39"/>
      <c r="K3" s="39"/>
      <c r="L3" s="40"/>
      <c r="M3" s="21" t="s">
        <v>10</v>
      </c>
      <c r="N3" s="32" t="str">
        <f>PORTADA!BO3</f>
        <v>JULIO 23 DEL 2026</v>
      </c>
      <c r="O3" s="31"/>
    </row>
    <row r="4" spans="1:15" s="22" customFormat="1" ht="40" customHeight="1" x14ac:dyDescent="0.9">
      <c r="A4" s="41"/>
      <c r="B4" s="41"/>
      <c r="C4" s="29" t="str">
        <f>PORTADA!Z5</f>
        <v>HOJA DE DATOS Y ESPECIFICACIONES TÉCNICAS DE LAS REJILLAS DE EXFILTRACIÓN</v>
      </c>
      <c r="D4" s="33"/>
      <c r="E4" s="33"/>
      <c r="F4" s="33"/>
      <c r="G4" s="33"/>
      <c r="H4" s="33"/>
      <c r="I4" s="33"/>
      <c r="J4" s="33"/>
      <c r="K4" s="33"/>
      <c r="L4" s="34"/>
      <c r="M4" s="21" t="s">
        <v>11</v>
      </c>
      <c r="N4" s="32" t="str">
        <f>PORTADA!BO4</f>
        <v>J.ARBOLEDA</v>
      </c>
      <c r="O4" s="31"/>
    </row>
    <row r="5" spans="1:15" s="22" customFormat="1" ht="40" customHeight="1" x14ac:dyDescent="0.9">
      <c r="A5" s="42"/>
      <c r="B5" s="42"/>
      <c r="C5" s="35"/>
      <c r="D5" s="36"/>
      <c r="E5" s="36"/>
      <c r="F5" s="36"/>
      <c r="G5" s="36"/>
      <c r="H5" s="36"/>
      <c r="I5" s="36"/>
      <c r="J5" s="36"/>
      <c r="K5" s="36"/>
      <c r="L5" s="37"/>
      <c r="M5" s="21" t="s">
        <v>30</v>
      </c>
      <c r="N5" s="32" t="str">
        <f>PORTADA!BO5</f>
        <v>F.NAVIA</v>
      </c>
      <c r="O5" s="31"/>
    </row>
    <row r="6" spans="1:15" s="22" customFormat="1" ht="40" customHeight="1" x14ac:dyDescent="0.9">
      <c r="A6" s="21" t="s">
        <v>31</v>
      </c>
      <c r="B6" s="20" t="str">
        <f>PORTADA!N6</f>
        <v>P2437</v>
      </c>
      <c r="C6" s="38"/>
      <c r="D6" s="39"/>
      <c r="E6" s="39"/>
      <c r="F6" s="39"/>
      <c r="G6" s="39"/>
      <c r="H6" s="39"/>
      <c r="I6" s="39"/>
      <c r="J6" s="39"/>
      <c r="K6" s="39"/>
      <c r="L6" s="40"/>
      <c r="M6" s="21" t="s">
        <v>18</v>
      </c>
      <c r="N6" s="32" t="str">
        <f>PORTADA!BO6</f>
        <v>H.ROSERO</v>
      </c>
      <c r="O6" s="31"/>
    </row>
    <row r="7" spans="1:15" ht="40" customHeight="1" x14ac:dyDescent="0.4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</row>
    <row r="8" spans="1:15" ht="40" customHeight="1" x14ac:dyDescent="0.4">
      <c r="A8" s="24" t="s">
        <v>32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40" customHeight="1" x14ac:dyDescent="0.4">
      <c r="A9" s="28" t="s">
        <v>33</v>
      </c>
      <c r="B9" s="28"/>
      <c r="C9" s="28"/>
      <c r="D9" s="28"/>
      <c r="E9" s="28"/>
      <c r="F9" s="28"/>
      <c r="G9" s="28"/>
      <c r="H9" s="28"/>
      <c r="I9" s="28" t="s">
        <v>34</v>
      </c>
      <c r="J9" s="28"/>
      <c r="K9" s="28"/>
      <c r="L9" s="28"/>
      <c r="M9" s="28"/>
      <c r="N9" s="28"/>
      <c r="O9" s="28"/>
    </row>
    <row r="10" spans="1:15" ht="40" customHeight="1" x14ac:dyDescent="0.4">
      <c r="A10" s="26" t="s">
        <v>35</v>
      </c>
      <c r="B10" s="27"/>
      <c r="C10" s="27"/>
      <c r="D10" s="27"/>
      <c r="E10" s="27"/>
      <c r="F10" s="27"/>
      <c r="G10" s="27"/>
      <c r="H10" s="27"/>
      <c r="I10" s="26" t="s">
        <v>36</v>
      </c>
      <c r="J10" s="27"/>
      <c r="K10" s="27"/>
      <c r="L10" s="27"/>
      <c r="M10" s="27"/>
      <c r="N10" s="27"/>
      <c r="O10" s="27"/>
    </row>
    <row r="11" spans="1:15" ht="40" customHeight="1" x14ac:dyDescent="0.4">
      <c r="A11" s="26" t="s">
        <v>37</v>
      </c>
      <c r="B11" s="27"/>
      <c r="C11" s="27"/>
      <c r="D11" s="27"/>
      <c r="E11" s="27"/>
      <c r="F11" s="27"/>
      <c r="G11" s="27"/>
      <c r="H11" s="27"/>
      <c r="I11" s="26" t="s">
        <v>38</v>
      </c>
      <c r="J11" s="27"/>
      <c r="K11" s="27"/>
      <c r="L11" s="27"/>
      <c r="M11" s="27"/>
      <c r="N11" s="27"/>
      <c r="O11" s="27"/>
    </row>
    <row r="12" spans="1:15" ht="40" customHeight="1" x14ac:dyDescent="0.4">
      <c r="A12" s="26" t="s">
        <v>39</v>
      </c>
      <c r="B12" s="27"/>
      <c r="C12" s="27"/>
      <c r="D12" s="27"/>
      <c r="E12" s="27"/>
      <c r="F12" s="27"/>
      <c r="G12" s="27"/>
      <c r="H12" s="27"/>
      <c r="I12" s="26" t="s">
        <v>40</v>
      </c>
      <c r="J12" s="27"/>
      <c r="K12" s="27"/>
      <c r="L12" s="27"/>
      <c r="M12" s="27"/>
      <c r="N12" s="27"/>
      <c r="O12" s="27"/>
    </row>
    <row r="13" spans="1:15" ht="40" customHeight="1" x14ac:dyDescent="0.4">
      <c r="A13" s="26" t="s">
        <v>41</v>
      </c>
      <c r="B13" s="27"/>
      <c r="C13" s="27"/>
      <c r="D13" s="27"/>
      <c r="E13" s="27"/>
      <c r="F13" s="27"/>
      <c r="G13" s="27"/>
      <c r="H13" s="27"/>
      <c r="I13" s="26" t="s">
        <v>42</v>
      </c>
      <c r="J13" s="27"/>
      <c r="K13" s="27"/>
      <c r="L13" s="27"/>
      <c r="M13" s="27"/>
      <c r="N13" s="27"/>
      <c r="O13" s="27"/>
    </row>
    <row r="14" spans="1:15" ht="40" customHeight="1" x14ac:dyDescent="0.4">
      <c r="A14" s="26" t="s">
        <v>43</v>
      </c>
      <c r="B14" s="27"/>
      <c r="C14" s="27"/>
      <c r="D14" s="27"/>
      <c r="E14" s="27"/>
      <c r="F14" s="27"/>
      <c r="G14" s="27"/>
      <c r="H14" s="27"/>
      <c r="I14" s="26" t="s">
        <v>44</v>
      </c>
      <c r="J14" s="27"/>
      <c r="K14" s="27"/>
      <c r="L14" s="27"/>
      <c r="M14" s="27"/>
      <c r="N14" s="27"/>
      <c r="O14" s="27"/>
    </row>
    <row r="15" spans="1:15" ht="40" customHeight="1" x14ac:dyDescent="0.4"/>
    <row r="16" spans="1:15" ht="40" customHeight="1" x14ac:dyDescent="0.4">
      <c r="A16" s="24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101.6" customHeight="1" x14ac:dyDescent="0.4">
      <c r="A17" s="23" t="s">
        <v>46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40" customHeight="1" x14ac:dyDescent="0.4">
      <c r="A18" s="24" t="s">
        <v>47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ht="64.75" customHeight="1" x14ac:dyDescent="0.4">
      <c r="A19" s="17" t="s">
        <v>48</v>
      </c>
    </row>
    <row r="20" spans="1:15" ht="40" customHeight="1" x14ac:dyDescent="0.4">
      <c r="A20" s="28" t="s">
        <v>49</v>
      </c>
      <c r="B20" s="28"/>
      <c r="C20" s="28"/>
      <c r="D20" s="28"/>
      <c r="E20" s="28"/>
      <c r="F20" s="28"/>
      <c r="G20" s="28"/>
      <c r="H20" s="28"/>
      <c r="I20" s="28" t="s">
        <v>34</v>
      </c>
      <c r="J20" s="28"/>
      <c r="K20" s="28"/>
      <c r="L20" s="28"/>
      <c r="M20" s="28"/>
      <c r="N20" s="28"/>
      <c r="O20" s="28"/>
    </row>
    <row r="21" spans="1:15" ht="40" customHeight="1" x14ac:dyDescent="0.4">
      <c r="A21" s="26" t="s">
        <v>50</v>
      </c>
      <c r="B21" s="27"/>
      <c r="C21" s="27"/>
      <c r="D21" s="27"/>
      <c r="E21" s="27"/>
      <c r="F21" s="27"/>
      <c r="G21" s="27"/>
      <c r="H21" s="27"/>
      <c r="I21" s="26" t="s">
        <v>51</v>
      </c>
      <c r="J21" s="27"/>
      <c r="K21" s="27"/>
      <c r="L21" s="27"/>
      <c r="M21" s="27"/>
      <c r="N21" s="27"/>
      <c r="O21" s="27"/>
    </row>
    <row r="22" spans="1:15" ht="40" customHeight="1" x14ac:dyDescent="0.4">
      <c r="A22" s="26" t="s">
        <v>52</v>
      </c>
      <c r="B22" s="27"/>
      <c r="C22" s="27"/>
      <c r="D22" s="27"/>
      <c r="E22" s="27"/>
      <c r="F22" s="27"/>
      <c r="G22" s="27"/>
      <c r="H22" s="27"/>
      <c r="I22" s="26" t="s">
        <v>123</v>
      </c>
      <c r="J22" s="27"/>
      <c r="K22" s="27"/>
      <c r="L22" s="27"/>
      <c r="M22" s="27"/>
      <c r="N22" s="27"/>
      <c r="O22" s="27"/>
    </row>
    <row r="23" spans="1:15" ht="40" customHeight="1" x14ac:dyDescent="0.4">
      <c r="A23" s="26" t="s">
        <v>53</v>
      </c>
      <c r="B23" s="27"/>
      <c r="C23" s="27"/>
      <c r="D23" s="27"/>
      <c r="E23" s="27"/>
      <c r="F23" s="27"/>
      <c r="G23" s="27"/>
      <c r="H23" s="27"/>
      <c r="I23" s="26" t="s">
        <v>54</v>
      </c>
      <c r="J23" s="27"/>
      <c r="K23" s="27"/>
      <c r="L23" s="27"/>
      <c r="M23" s="27"/>
      <c r="N23" s="27"/>
      <c r="O23" s="27"/>
    </row>
    <row r="24" spans="1:15" ht="40" customHeight="1" x14ac:dyDescent="0.4">
      <c r="A24" s="26" t="s">
        <v>55</v>
      </c>
      <c r="B24" s="27"/>
      <c r="C24" s="27"/>
      <c r="D24" s="27"/>
      <c r="E24" s="27"/>
      <c r="F24" s="27"/>
      <c r="G24" s="27"/>
      <c r="H24" s="27"/>
      <c r="I24" s="26" t="s">
        <v>56</v>
      </c>
      <c r="J24" s="27"/>
      <c r="K24" s="27"/>
      <c r="L24" s="27"/>
      <c r="M24" s="27"/>
      <c r="N24" s="27"/>
      <c r="O24" s="27"/>
    </row>
    <row r="25" spans="1:15" ht="40" customHeight="1" x14ac:dyDescent="0.4">
      <c r="A25" s="26" t="s">
        <v>57</v>
      </c>
      <c r="B25" s="27"/>
      <c r="C25" s="27"/>
      <c r="D25" s="27"/>
      <c r="E25" s="27"/>
      <c r="F25" s="27"/>
      <c r="G25" s="27"/>
      <c r="H25" s="27"/>
      <c r="I25" s="26" t="s">
        <v>58</v>
      </c>
      <c r="J25" s="27"/>
      <c r="K25" s="27"/>
      <c r="L25" s="27"/>
      <c r="M25" s="27"/>
      <c r="N25" s="27"/>
      <c r="O25" s="27"/>
    </row>
    <row r="26" spans="1:15" ht="40" customHeight="1" x14ac:dyDescent="0.4">
      <c r="A26" s="26" t="s">
        <v>59</v>
      </c>
      <c r="B26" s="27"/>
      <c r="C26" s="27"/>
      <c r="D26" s="27"/>
      <c r="E26" s="27"/>
      <c r="F26" s="27"/>
      <c r="G26" s="27"/>
      <c r="H26" s="27"/>
      <c r="I26" s="26" t="s">
        <v>60</v>
      </c>
      <c r="J26" s="27"/>
      <c r="K26" s="27"/>
      <c r="L26" s="27"/>
      <c r="M26" s="27"/>
      <c r="N26" s="27"/>
      <c r="O26" s="27"/>
    </row>
    <row r="27" spans="1:15" ht="40" customHeight="1" x14ac:dyDescent="0.4">
      <c r="A27" s="26" t="s">
        <v>61</v>
      </c>
      <c r="B27" s="27"/>
      <c r="C27" s="27"/>
      <c r="D27" s="27"/>
      <c r="E27" s="27"/>
      <c r="F27" s="27"/>
      <c r="G27" s="27"/>
      <c r="H27" s="27"/>
      <c r="I27" s="26" t="s">
        <v>62</v>
      </c>
      <c r="J27" s="27"/>
      <c r="K27" s="27"/>
      <c r="L27" s="27"/>
      <c r="M27" s="27"/>
      <c r="N27" s="27"/>
      <c r="O27" s="27"/>
    </row>
    <row r="28" spans="1:15" ht="40" customHeight="1" x14ac:dyDescent="0.4"/>
    <row r="29" spans="1:15" ht="80.599999999999994" customHeight="1" x14ac:dyDescent="0.4">
      <c r="A29" s="23" t="s">
        <v>63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40" customHeight="1" x14ac:dyDescent="0.4"/>
    <row r="31" spans="1:15" ht="40" customHeight="1" x14ac:dyDescent="0.4">
      <c r="A31" s="24" t="s">
        <v>64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40" customHeight="1" x14ac:dyDescent="0.4">
      <c r="A32" s="16" t="s">
        <v>65</v>
      </c>
    </row>
    <row r="33" spans="1:15" ht="40" customHeight="1" x14ac:dyDescent="0.4">
      <c r="A33" s="28" t="s">
        <v>66</v>
      </c>
      <c r="B33" s="28"/>
      <c r="C33" s="28"/>
      <c r="D33" s="28"/>
      <c r="E33" s="28"/>
      <c r="F33" s="28"/>
      <c r="G33" s="28"/>
      <c r="H33" s="28"/>
      <c r="I33" s="28" t="s">
        <v>67</v>
      </c>
      <c r="J33" s="28"/>
      <c r="K33" s="28"/>
      <c r="L33" s="28"/>
      <c r="M33" s="28"/>
      <c r="N33" s="28"/>
      <c r="O33" s="28"/>
    </row>
    <row r="34" spans="1:15" ht="64.849999999999994" customHeight="1" x14ac:dyDescent="0.75">
      <c r="A34" s="26" t="s">
        <v>68</v>
      </c>
      <c r="B34" s="27"/>
      <c r="C34" s="27"/>
      <c r="D34" s="27"/>
      <c r="E34" s="27"/>
      <c r="F34" s="27"/>
      <c r="G34" s="27"/>
      <c r="H34" s="27"/>
      <c r="I34" s="94" t="s">
        <v>69</v>
      </c>
      <c r="J34" s="95"/>
      <c r="K34" s="95"/>
      <c r="L34" s="95"/>
      <c r="M34" s="95"/>
      <c r="N34" s="95"/>
      <c r="O34" s="95"/>
    </row>
    <row r="35" spans="1:15" ht="64.849999999999994" customHeight="1" x14ac:dyDescent="0.75">
      <c r="A35" s="26" t="s">
        <v>70</v>
      </c>
      <c r="B35" s="27"/>
      <c r="C35" s="27"/>
      <c r="D35" s="27"/>
      <c r="E35" s="27"/>
      <c r="F35" s="27"/>
      <c r="G35" s="27"/>
      <c r="H35" s="27"/>
      <c r="I35" s="94" t="s">
        <v>71</v>
      </c>
      <c r="J35" s="95"/>
      <c r="K35" s="95"/>
      <c r="L35" s="95"/>
      <c r="M35" s="95"/>
      <c r="N35" s="95"/>
      <c r="O35" s="95"/>
    </row>
    <row r="36" spans="1:15" ht="64.849999999999994" customHeight="1" x14ac:dyDescent="0.75">
      <c r="A36" s="26" t="s">
        <v>72</v>
      </c>
      <c r="B36" s="27"/>
      <c r="C36" s="27"/>
      <c r="D36" s="27"/>
      <c r="E36" s="27"/>
      <c r="F36" s="27"/>
      <c r="G36" s="27"/>
      <c r="H36" s="27"/>
      <c r="I36" s="94" t="s">
        <v>73</v>
      </c>
      <c r="J36" s="95"/>
      <c r="K36" s="95"/>
      <c r="L36" s="95"/>
      <c r="M36" s="95"/>
      <c r="N36" s="95"/>
      <c r="O36" s="95"/>
    </row>
    <row r="37" spans="1:15" ht="64.849999999999994" customHeight="1" x14ac:dyDescent="0.75">
      <c r="A37" s="26" t="s">
        <v>74</v>
      </c>
      <c r="B37" s="27"/>
      <c r="C37" s="27"/>
      <c r="D37" s="27"/>
      <c r="E37" s="27"/>
      <c r="F37" s="27"/>
      <c r="G37" s="27"/>
      <c r="H37" s="27"/>
      <c r="I37" s="94" t="s">
        <v>75</v>
      </c>
      <c r="J37" s="95"/>
      <c r="K37" s="95"/>
      <c r="L37" s="95"/>
      <c r="M37" s="95"/>
      <c r="N37" s="95"/>
      <c r="O37" s="95"/>
    </row>
    <row r="38" spans="1:15" ht="64.849999999999994" customHeight="1" x14ac:dyDescent="0.75">
      <c r="A38" s="26" t="s">
        <v>76</v>
      </c>
      <c r="B38" s="27"/>
      <c r="C38" s="27"/>
      <c r="D38" s="27"/>
      <c r="E38" s="27"/>
      <c r="F38" s="27"/>
      <c r="G38" s="27"/>
      <c r="H38" s="27"/>
      <c r="I38" s="94" t="s">
        <v>77</v>
      </c>
      <c r="J38" s="95"/>
      <c r="K38" s="95"/>
      <c r="L38" s="95"/>
      <c r="M38" s="95"/>
      <c r="N38" s="95"/>
      <c r="O38" s="95"/>
    </row>
    <row r="39" spans="1:15" ht="64.849999999999994" customHeight="1" x14ac:dyDescent="0.75">
      <c r="A39" s="26" t="s">
        <v>78</v>
      </c>
      <c r="B39" s="27"/>
      <c r="C39" s="27"/>
      <c r="D39" s="27"/>
      <c r="E39" s="27"/>
      <c r="F39" s="27"/>
      <c r="G39" s="27"/>
      <c r="H39" s="27"/>
      <c r="I39" s="94" t="s">
        <v>79</v>
      </c>
      <c r="J39" s="95"/>
      <c r="K39" s="95"/>
      <c r="L39" s="95"/>
      <c r="M39" s="95"/>
      <c r="N39" s="95"/>
      <c r="O39" s="95"/>
    </row>
    <row r="40" spans="1:15" ht="64.849999999999994" customHeight="1" x14ac:dyDescent="0.75">
      <c r="A40" s="26" t="s">
        <v>80</v>
      </c>
      <c r="B40" s="27"/>
      <c r="C40" s="27"/>
      <c r="D40" s="27"/>
      <c r="E40" s="27"/>
      <c r="F40" s="27"/>
      <c r="G40" s="27"/>
      <c r="H40" s="27"/>
      <c r="I40" s="94" t="s">
        <v>81</v>
      </c>
      <c r="J40" s="95"/>
      <c r="K40" s="95"/>
      <c r="L40" s="95"/>
      <c r="M40" s="95"/>
      <c r="N40" s="95"/>
      <c r="O40" s="95"/>
    </row>
    <row r="41" spans="1:15" ht="64.849999999999994" customHeight="1" x14ac:dyDescent="0.75">
      <c r="A41" s="26" t="s">
        <v>82</v>
      </c>
      <c r="B41" s="27"/>
      <c r="C41" s="27"/>
      <c r="D41" s="27"/>
      <c r="E41" s="27"/>
      <c r="F41" s="27"/>
      <c r="G41" s="27"/>
      <c r="H41" s="27"/>
      <c r="I41" s="94" t="s">
        <v>83</v>
      </c>
      <c r="J41" s="95"/>
      <c r="K41" s="95"/>
      <c r="L41" s="95"/>
      <c r="M41" s="95"/>
      <c r="N41" s="95"/>
      <c r="O41" s="95"/>
    </row>
    <row r="42" spans="1:15" ht="64.849999999999994" customHeight="1" x14ac:dyDescent="0.75">
      <c r="A42" s="26" t="s">
        <v>84</v>
      </c>
      <c r="B42" s="27"/>
      <c r="C42" s="27"/>
      <c r="D42" s="27"/>
      <c r="E42" s="27"/>
      <c r="F42" s="27"/>
      <c r="G42" s="27"/>
      <c r="H42" s="27"/>
      <c r="I42" s="94" t="s">
        <v>85</v>
      </c>
      <c r="J42" s="95"/>
      <c r="K42" s="95"/>
      <c r="L42" s="95"/>
      <c r="M42" s="95"/>
      <c r="N42" s="95"/>
      <c r="O42" s="95"/>
    </row>
    <row r="43" spans="1:15" ht="40" customHeight="1" x14ac:dyDescent="0.4"/>
    <row r="44" spans="1:15" ht="58.85" customHeight="1" x14ac:dyDescent="0.4">
      <c r="A44" s="23" t="s">
        <v>86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40" customHeight="1" x14ac:dyDescent="0.4"/>
    <row r="46" spans="1:15" ht="40" customHeight="1" x14ac:dyDescent="0.4">
      <c r="A46" s="97" t="s">
        <v>125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40" customHeight="1" x14ac:dyDescent="0.4">
      <c r="A47" s="16" t="s">
        <v>87</v>
      </c>
    </row>
    <row r="48" spans="1:15" ht="87" customHeight="1" x14ac:dyDescent="0.4">
      <c r="A48" s="28" t="s">
        <v>88</v>
      </c>
      <c r="B48" s="28"/>
      <c r="C48" s="28"/>
      <c r="D48" s="28" t="s">
        <v>89</v>
      </c>
      <c r="E48" s="28"/>
      <c r="F48" s="28"/>
      <c r="G48" s="28" t="s">
        <v>90</v>
      </c>
      <c r="H48" s="28"/>
      <c r="I48" s="28"/>
      <c r="J48" s="28" t="s">
        <v>91</v>
      </c>
      <c r="K48" s="28"/>
      <c r="L48" s="28"/>
      <c r="M48" s="28" t="s">
        <v>92</v>
      </c>
      <c r="N48" s="28"/>
      <c r="O48" s="28"/>
    </row>
    <row r="49" spans="1:15" ht="87" customHeight="1" x14ac:dyDescent="0.4">
      <c r="A49" s="26" t="s">
        <v>93</v>
      </c>
      <c r="B49" s="27"/>
      <c r="C49" s="27"/>
      <c r="D49" s="26" t="s">
        <v>94</v>
      </c>
      <c r="E49" s="27"/>
      <c r="F49" s="27"/>
      <c r="G49" s="26" t="s">
        <v>95</v>
      </c>
      <c r="H49" s="27"/>
      <c r="I49" s="27"/>
      <c r="J49" s="26" t="s">
        <v>96</v>
      </c>
      <c r="K49" s="27"/>
      <c r="L49" s="27"/>
      <c r="M49" s="43" t="s">
        <v>97</v>
      </c>
      <c r="N49" s="44"/>
      <c r="O49" s="44"/>
    </row>
    <row r="50" spans="1:15" ht="87" customHeight="1" x14ac:dyDescent="0.4">
      <c r="A50" s="26" t="s">
        <v>98</v>
      </c>
      <c r="B50" s="27"/>
      <c r="C50" s="27"/>
      <c r="D50" s="26" t="s">
        <v>99</v>
      </c>
      <c r="E50" s="27"/>
      <c r="F50" s="27"/>
      <c r="G50" s="26" t="s">
        <v>100</v>
      </c>
      <c r="H50" s="27"/>
      <c r="I50" s="27"/>
      <c r="J50" s="26" t="s">
        <v>101</v>
      </c>
      <c r="K50" s="27"/>
      <c r="L50" s="27"/>
      <c r="M50" s="43" t="s">
        <v>102</v>
      </c>
      <c r="N50" s="44"/>
      <c r="O50" s="44"/>
    </row>
    <row r="51" spans="1:15" ht="87" customHeight="1" x14ac:dyDescent="0.4">
      <c r="A51" s="26" t="s">
        <v>103</v>
      </c>
      <c r="B51" s="27"/>
      <c r="C51" s="27"/>
      <c r="D51" s="26" t="s">
        <v>104</v>
      </c>
      <c r="E51" s="27"/>
      <c r="F51" s="27"/>
      <c r="G51" s="26" t="s">
        <v>105</v>
      </c>
      <c r="H51" s="27"/>
      <c r="I51" s="27"/>
      <c r="J51" s="26" t="s">
        <v>106</v>
      </c>
      <c r="K51" s="27"/>
      <c r="L51" s="27"/>
      <c r="M51" s="43" t="s">
        <v>107</v>
      </c>
      <c r="N51" s="44"/>
      <c r="O51" s="44"/>
    </row>
    <row r="52" spans="1:15" ht="87" customHeight="1" x14ac:dyDescent="0.4">
      <c r="A52" s="26" t="s">
        <v>108</v>
      </c>
      <c r="B52" s="27"/>
      <c r="C52" s="27"/>
      <c r="D52" s="26" t="s">
        <v>109</v>
      </c>
      <c r="E52" s="27"/>
      <c r="F52" s="27"/>
      <c r="G52" s="26" t="s">
        <v>110</v>
      </c>
      <c r="H52" s="27"/>
      <c r="I52" s="27"/>
      <c r="J52" s="26" t="s">
        <v>111</v>
      </c>
      <c r="K52" s="27"/>
      <c r="L52" s="27"/>
      <c r="M52" s="43" t="s">
        <v>112</v>
      </c>
      <c r="N52" s="44"/>
      <c r="O52" s="44"/>
    </row>
    <row r="53" spans="1:15" ht="87" customHeight="1" x14ac:dyDescent="0.4">
      <c r="A53" s="26" t="s">
        <v>113</v>
      </c>
      <c r="B53" s="27"/>
      <c r="C53" s="27"/>
      <c r="D53" s="26" t="s">
        <v>114</v>
      </c>
      <c r="E53" s="27"/>
      <c r="F53" s="27"/>
      <c r="G53" s="26" t="s">
        <v>115</v>
      </c>
      <c r="H53" s="27"/>
      <c r="I53" s="27"/>
      <c r="J53" s="26" t="s">
        <v>116</v>
      </c>
      <c r="K53" s="27"/>
      <c r="L53" s="27"/>
      <c r="M53" s="43" t="s">
        <v>117</v>
      </c>
      <c r="N53" s="44"/>
      <c r="O53" s="44"/>
    </row>
    <row r="54" spans="1:15" ht="40" customHeight="1" x14ac:dyDescent="0.4"/>
    <row r="55" spans="1:15" ht="133.30000000000001" customHeight="1" x14ac:dyDescent="0.4">
      <c r="A55" s="24" t="s">
        <v>118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33.30000000000001" customHeight="1" x14ac:dyDescent="0.4">
      <c r="A56" s="96" t="s">
        <v>124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133.30000000000001" customHeight="1" x14ac:dyDescent="0.4">
      <c r="A57" s="18" t="s">
        <v>119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1:15" ht="133.30000000000001" customHeight="1" x14ac:dyDescent="0.4">
      <c r="A58" s="18" t="s">
        <v>120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5" ht="133.30000000000001" customHeight="1" x14ac:dyDescent="0.4">
      <c r="A59" s="24" t="s">
        <v>121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33.30000000000001" customHeight="1" x14ac:dyDescent="0.4">
      <c r="A60" s="23" t="s">
        <v>122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</row>
  </sheetData>
  <mergeCells count="101">
    <mergeCell ref="A23:H23"/>
    <mergeCell ref="J48:L48"/>
    <mergeCell ref="N5:O5"/>
    <mergeCell ref="C2:L3"/>
    <mergeCell ref="A50:C50"/>
    <mergeCell ref="G48:I48"/>
    <mergeCell ref="J50:L50"/>
    <mergeCell ref="M51:O51"/>
    <mergeCell ref="G50:I50"/>
    <mergeCell ref="I39:O39"/>
    <mergeCell ref="A12:H12"/>
    <mergeCell ref="I22:O22"/>
    <mergeCell ref="B1:B5"/>
    <mergeCell ref="J52:L52"/>
    <mergeCell ref="M49:O49"/>
    <mergeCell ref="A52:C52"/>
    <mergeCell ref="A37:H37"/>
    <mergeCell ref="I37:O37"/>
    <mergeCell ref="M52:O52"/>
    <mergeCell ref="A34:H34"/>
    <mergeCell ref="I36:O36"/>
    <mergeCell ref="M53:O53"/>
    <mergeCell ref="A36:H36"/>
    <mergeCell ref="M50:O50"/>
    <mergeCell ref="I41:O41"/>
    <mergeCell ref="A42:H42"/>
    <mergeCell ref="A38:H38"/>
    <mergeCell ref="I42:O42"/>
    <mergeCell ref="D51:F51"/>
    <mergeCell ref="D48:F48"/>
    <mergeCell ref="A1:A5"/>
    <mergeCell ref="N2:O2"/>
    <mergeCell ref="G53:I53"/>
    <mergeCell ref="A25:H25"/>
    <mergeCell ref="G49:I49"/>
    <mergeCell ref="A59:O59"/>
    <mergeCell ref="D53:F53"/>
    <mergeCell ref="I10:O10"/>
    <mergeCell ref="G52:I52"/>
    <mergeCell ref="A18:O18"/>
    <mergeCell ref="D52:F52"/>
    <mergeCell ref="A40:H40"/>
    <mergeCell ref="A46:O46"/>
    <mergeCell ref="A20:H20"/>
    <mergeCell ref="I26:O26"/>
    <mergeCell ref="A49:C49"/>
    <mergeCell ref="I35:O35"/>
    <mergeCell ref="A14:H14"/>
    <mergeCell ref="A22:H22"/>
    <mergeCell ref="I33:O33"/>
    <mergeCell ref="A53:C53"/>
    <mergeCell ref="I9:O9"/>
    <mergeCell ref="J53:L53"/>
    <mergeCell ref="A8:O8"/>
    <mergeCell ref="C1:L1"/>
    <mergeCell ref="I20:O20"/>
    <mergeCell ref="A33:H33"/>
    <mergeCell ref="A9:H9"/>
    <mergeCell ref="I11:O11"/>
    <mergeCell ref="I13:O13"/>
    <mergeCell ref="I27:O27"/>
    <mergeCell ref="A10:H10"/>
    <mergeCell ref="I12:O12"/>
    <mergeCell ref="N1:O1"/>
    <mergeCell ref="A11:H11"/>
    <mergeCell ref="A13:H13"/>
    <mergeCell ref="C4:L6"/>
    <mergeCell ref="N6:O6"/>
    <mergeCell ref="A26:H26"/>
    <mergeCell ref="N4:O4"/>
    <mergeCell ref="I21:O21"/>
    <mergeCell ref="A31:O31"/>
    <mergeCell ref="A16:O16"/>
    <mergeCell ref="I25:O25"/>
    <mergeCell ref="A24:H24"/>
    <mergeCell ref="A27:H27"/>
    <mergeCell ref="N3:O3"/>
    <mergeCell ref="A56:O56"/>
    <mergeCell ref="A60:O60"/>
    <mergeCell ref="A55:O55"/>
    <mergeCell ref="I38:O38"/>
    <mergeCell ref="I14:O14"/>
    <mergeCell ref="A51:C51"/>
    <mergeCell ref="A35:H35"/>
    <mergeCell ref="J49:L49"/>
    <mergeCell ref="I24:O24"/>
    <mergeCell ref="M48:O48"/>
    <mergeCell ref="A21:H21"/>
    <mergeCell ref="I23:O23"/>
    <mergeCell ref="A41:H41"/>
    <mergeCell ref="D50:F50"/>
    <mergeCell ref="I40:O40"/>
    <mergeCell ref="A17:O17"/>
    <mergeCell ref="A29:O29"/>
    <mergeCell ref="A44:O44"/>
    <mergeCell ref="J51:L51"/>
    <mergeCell ref="G51:I51"/>
    <mergeCell ref="A48:C48"/>
    <mergeCell ref="A39:H39"/>
    <mergeCell ref="D49:F49"/>
    <mergeCell ref="I34:O34"/>
  </mergeCells>
  <printOptions horizontalCentered="1"/>
  <pageMargins left="0.11811023622047245" right="0.11811023622047245" top="0.11811023622047245" bottom="0.11811023622047245" header="0" footer="0"/>
  <pageSetup paperSize="8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PORTADA</vt:lpstr>
      <vt:lpstr>ESPECIFICACIÓN</vt:lpstr>
      <vt:lpstr>ESPECIFICACIÓN!Área_de_impresión</vt:lpstr>
      <vt:lpstr>PORTADA!Área_de_impresión</vt:lpstr>
      <vt:lpstr>ESPECIFICACIÓN!Títulos_a_imprimir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Arboleda Genes</dc:creator>
  <cp:lastModifiedBy>JAG DESIGN</cp:lastModifiedBy>
  <cp:lastPrinted>2026-09-17T15:22:46Z</cp:lastPrinted>
  <dcterms:created xsi:type="dcterms:W3CDTF">2022-01-25T18:39:15Z</dcterms:created>
  <dcterms:modified xsi:type="dcterms:W3CDTF">2026-09-17T16:45:07Z</dcterms:modified>
</cp:coreProperties>
</file>