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ORTADA" sheetId="1" state="visible" r:id="rId1"/>
    <sheet name="ESPECIFICACIÓN" sheetId="2" state="visible" r:id="rId2"/>
  </sheets>
  <definedNames>
    <definedName name="_xlnm.Print_Area" localSheetId="0">'PORTADA'!$A$1:$BZ$66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0000000"/>
  </numFmts>
  <fonts count="21"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theme="1"/>
      <sz val="11"/>
      <scheme val="minor"/>
    </font>
    <font>
      <name val="Verdana"/>
      <family val="2"/>
      <color rgb="FF00B050"/>
      <sz val="12"/>
    </font>
    <font>
      <name val="Verdana"/>
      <family val="2"/>
      <b val="1"/>
      <sz val="12"/>
    </font>
    <font>
      <name val="Verdana"/>
      <family val="2"/>
      <sz val="12"/>
    </font>
    <font>
      <name val="Verdana"/>
      <family val="2"/>
      <color theme="1"/>
      <sz val="12"/>
    </font>
    <font>
      <name val="Verdana"/>
      <family val="2"/>
      <color rgb="FFEAEAEA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5"/>
    </font>
    <font>
      <name val="Verdana"/>
      <family val="2"/>
      <b val="1"/>
      <i val="1"/>
      <color theme="1"/>
      <sz val="15"/>
    </font>
    <font>
      <name val="Verdana"/>
      <family val="2"/>
      <color theme="1"/>
      <sz val="15"/>
    </font>
    <font>
      <name val="Verdana"/>
      <family val="2"/>
      <b val="1"/>
      <sz val="15"/>
    </font>
    <font>
      <name val="Calibri"/>
      <family val="2"/>
      <sz val="8"/>
      <scheme val="minor"/>
    </font>
    <font>
      <name val="Verdana"/>
      <family val="2"/>
      <color theme="1"/>
      <sz val="20"/>
    </font>
    <font>
      <name val="Verdana"/>
      <family val="2"/>
      <b val="1"/>
      <color rgb="FFFFFFFF"/>
      <sz val="22"/>
    </font>
    <font>
      <name val="Verdana"/>
      <family val="2"/>
      <b val="1"/>
      <color theme="1"/>
      <sz val="16"/>
    </font>
    <font>
      <b val="1"/>
      <color rgb="001F4E78"/>
      <sz val="14"/>
    </font>
    <font>
      <b val="1"/>
      <color rgb="00FFFFFF"/>
      <sz val="11"/>
    </font>
    <font>
      <b val="1"/>
      <color rgb="001F4E78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  <bgColor rgb="001F4E7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2" fillId="0" borderId="0"/>
    <xf numFmtId="0" fontId="2" fillId="0" borderId="0"/>
    <xf numFmtId="0" fontId="2" fillId="0" borderId="0"/>
    <xf numFmtId="43" fontId="2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2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left"/>
    </xf>
    <xf numFmtId="0" fontId="7" fillId="0" borderId="0" pivotButton="0" quotePrefix="0" xfId="2"/>
    <xf numFmtId="0" fontId="6" fillId="0" borderId="0" applyAlignment="1" pivotButton="0" quotePrefix="0" xfId="1">
      <alignment horizontal="left" vertical="center"/>
    </xf>
    <xf numFmtId="1" fontId="6" fillId="0" borderId="0" applyAlignment="1" pivotButton="0" quotePrefix="0" xfId="1">
      <alignment horizontal="center"/>
    </xf>
    <xf numFmtId="43" fontId="6" fillId="0" borderId="0" applyAlignment="1" pivotButton="0" quotePrefix="0" xfId="3">
      <alignment vertical="center"/>
    </xf>
    <xf numFmtId="0" fontId="6" fillId="0" borderId="0" applyAlignment="1" pivotButton="0" quotePrefix="0" xfId="1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right"/>
    </xf>
    <xf numFmtId="0" fontId="6" fillId="2" borderId="0" pivotButton="0" quotePrefix="0" xfId="2"/>
    <xf numFmtId="0" fontId="14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164" fontId="6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165" fontId="5" fillId="0" borderId="1" applyAlignment="1" applyProtection="1" pivotButton="0" quotePrefix="0" xfId="1">
      <alignment horizontal="left" vertical="center" indent="1"/>
      <protection locked="1" hidden="1"/>
    </xf>
    <xf numFmtId="0" fontId="4" fillId="0" borderId="1" applyAlignment="1" pivotButton="0" quotePrefix="0" xfId="1">
      <alignment horizontal="left" vertical="center" indent="1"/>
    </xf>
    <xf numFmtId="0" fontId="5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1">
      <alignment horizontal="left" vertical="center"/>
    </xf>
    <xf numFmtId="49" fontId="5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left" vertical="center" wrapText="1" indent="4"/>
    </xf>
    <xf numFmtId="0" fontId="15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14" fontId="1" fillId="0" borderId="1" applyAlignment="1" pivotButton="0" quotePrefix="0" xfId="1">
      <alignment horizontal="center" vertical="center" wrapText="1"/>
    </xf>
    <xf numFmtId="165" fontId="1" fillId="0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43" fontId="6" fillId="0" borderId="0" applyAlignment="1" pivotButton="0" quotePrefix="0" xfId="3">
      <alignment vertical="center"/>
    </xf>
    <xf numFmtId="0" fontId="0" fillId="0" borderId="11" pivotButton="0" quotePrefix="0" xfId="0"/>
    <xf numFmtId="0" fontId="0" fillId="0" borderId="12" pivotButton="0" quotePrefix="0" xfId="0"/>
    <xf numFmtId="0" fontId="17" fillId="0" borderId="0" applyAlignment="1" pivotButton="0" quotePrefix="0" xfId="0">
      <alignment vertical="center" wrapText="1"/>
    </xf>
    <xf numFmtId="0" fontId="18" fillId="5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</cellXfs>
  <cellStyles count="4">
    <cellStyle name="Normal" xfId="0" builtinId="0"/>
    <cellStyle name="Normal 6" xfId="1"/>
    <cellStyle name="Normal 3 2" xfId="2"/>
    <cellStyle name="Millares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154215</colOff>
      <row>1</row>
      <rowOff>147735</rowOff>
    </from>
    <to>
      <col>23</col>
      <colOff>508000</colOff>
      <row>4</row>
      <rowOff>18144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1072" y="466531"/>
          <a:ext cx="2530928" cy="826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99786</colOff>
      <row>0</row>
      <rowOff>117927</rowOff>
    </from>
    <to>
      <col>12</col>
      <colOff>27213</colOff>
      <row>4</row>
      <rowOff>234424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26572" y="117927"/>
          <a:ext cx="2422070" cy="138649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129035</colOff>
      <row>1</row>
      <rowOff>247887</rowOff>
    </from>
    <to>
      <col>1</col>
      <colOff>1995502</colOff>
      <row>3</row>
      <rowOff>246530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265623" y="613946"/>
          <a:ext cx="1866467" cy="730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119531</colOff>
      <row>1</row>
      <rowOff>141942</rowOff>
    </from>
    <to>
      <col>0</col>
      <colOff>1972237</colOff>
      <row>3</row>
      <rowOff>343648</rowOff>
    </to>
    <pic>
      <nvPicPr>
        <cNvPr id="3" name="Imagen 2"/>
        <cNvPicPr>
          <a:picLocks noChangeAspect="1"/>
        </cNvPicPr>
      </nvPicPr>
      <blipFill rotWithShape="1">
        <a:blip r:embed="rId2"/>
        <a:srcRect l="4540" t="12476" r="4665" b="12920"/>
        <a:stretch>
          <a:fillRect/>
        </a:stretch>
      </blipFill>
      <spPr>
        <a:xfrm>
          <a:off x="119531" y="508001"/>
          <a:ext cx="1852706" cy="933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/>
  <cols>
    <col width="3.15234375" customWidth="1" style="3" min="1" max="22"/>
    <col width="5.23046875" customWidth="1" style="3" min="23" max="23"/>
    <col width="8.84375" customWidth="1" style="3" min="24" max="24"/>
    <col width="3.15234375" customWidth="1" style="3" min="25" max="48"/>
    <col width="3.15234375" customWidth="1" style="6" min="49" max="53"/>
    <col width="3.15234375" customWidth="1" style="3" min="54" max="79"/>
    <col width="54.4609375" customWidth="1" style="3" min="80" max="80"/>
    <col width="28.69140625" customWidth="1" style="3" min="81" max="81"/>
    <col width="3.15234375" customWidth="1" style="3" min="82" max="16384"/>
  </cols>
  <sheetData>
    <row r="1" ht="25" customFormat="1" customHeight="1" s="2">
      <c r="A1" s="29" t="n"/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30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5" t="n"/>
      <c r="Z1" s="27" t="inlineStr">
        <is>
          <t>DISEÑO DE INGENIERÍA</t>
        </is>
      </c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  <c r="AK1" s="44" t="n"/>
      <c r="AL1" s="44" t="n"/>
      <c r="AM1" s="44" t="n"/>
      <c r="AN1" s="44" t="n"/>
      <c r="AO1" s="44" t="n"/>
      <c r="AP1" s="44" t="n"/>
      <c r="AQ1" s="44" t="n"/>
      <c r="AR1" s="44" t="n"/>
      <c r="AS1" s="44" t="n"/>
      <c r="AT1" s="44" t="n"/>
      <c r="AU1" s="44" t="n"/>
      <c r="AV1" s="44" t="n"/>
      <c r="AW1" s="44" t="n"/>
      <c r="AX1" s="44" t="n"/>
      <c r="AY1" s="44" t="n"/>
      <c r="AZ1" s="44" t="n"/>
      <c r="BA1" s="44" t="n"/>
      <c r="BB1" s="45" t="n"/>
      <c r="BC1" s="26" t="inlineStr">
        <is>
          <t>CODIGO:</t>
        </is>
      </c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7" t="n"/>
      <c r="BO1" s="25" t="inlineStr">
        <is>
          <t>P2437-HV-DTS-002</t>
        </is>
      </c>
      <c r="BP1" s="48" t="n"/>
      <c r="BQ1" s="48" t="n"/>
      <c r="BR1" s="48" t="n"/>
      <c r="BS1" s="48" t="n"/>
      <c r="BT1" s="48" t="n"/>
      <c r="BU1" s="48" t="n"/>
      <c r="BV1" s="48" t="n"/>
      <c r="BW1" s="48" t="n"/>
      <c r="BX1" s="48" t="n"/>
      <c r="BY1" s="48" t="n"/>
      <c r="BZ1" s="49" t="n"/>
      <c r="CB1" s="15" t="inlineStr">
        <is>
          <t>REVIZADO</t>
        </is>
      </c>
      <c r="CC1" s="16" t="inlineStr">
        <is>
          <t>JULIO 23 DEL 2026</t>
        </is>
      </c>
    </row>
    <row r="2" ht="25" customFormat="1" customHeight="1" s="2">
      <c r="A2" s="50" t="n"/>
      <c r="M2" s="51" t="n"/>
      <c r="N2" s="50" t="n"/>
      <c r="Y2" s="51" t="n"/>
      <c r="Z2" s="52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4" t="n"/>
      <c r="BC2" s="26" t="inlineStr">
        <is>
          <t>REVISION:</t>
        </is>
      </c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25" t="inlineStr">
        <is>
          <t>CERO (0)</t>
        </is>
      </c>
      <c r="BP2" s="48" t="n"/>
      <c r="BQ2" s="48" t="n"/>
      <c r="BR2" s="48" t="n"/>
      <c r="BS2" s="48" t="n"/>
      <c r="BT2" s="48" t="n"/>
      <c r="BU2" s="48" t="n"/>
      <c r="BV2" s="48" t="n"/>
      <c r="BW2" s="48" t="n"/>
      <c r="BX2" s="48" t="n"/>
      <c r="BY2" s="48" t="n"/>
      <c r="BZ2" s="49" t="n"/>
      <c r="CB2" s="15" t="inlineStr">
        <is>
          <t>APROBADO</t>
        </is>
      </c>
      <c r="CC2" s="16" t="inlineStr">
        <is>
          <t>JULIO 24 DEL 2026</t>
        </is>
      </c>
    </row>
    <row r="3" ht="25" customFormat="1" customHeight="1" s="2">
      <c r="A3" s="50" t="n"/>
      <c r="M3" s="51" t="n"/>
      <c r="N3" s="50" t="n"/>
      <c r="Y3" s="51" t="n"/>
      <c r="Z3" s="27" t="inlineStr">
        <is>
          <t>SISTEMA HVAC LABORATORIO BRINSA</t>
        </is>
      </c>
      <c r="AA3" s="44" t="n"/>
      <c r="AB3" s="44" t="n"/>
      <c r="AC3" s="44" t="n"/>
      <c r="AD3" s="44" t="n"/>
      <c r="AE3" s="44" t="n"/>
      <c r="AF3" s="44" t="n"/>
      <c r="AG3" s="44" t="n"/>
      <c r="AH3" s="44" t="n"/>
      <c r="AI3" s="44" t="n"/>
      <c r="AJ3" s="44" t="n"/>
      <c r="AK3" s="44" t="n"/>
      <c r="AL3" s="44" t="n"/>
      <c r="AM3" s="44" t="n"/>
      <c r="AN3" s="44" t="n"/>
      <c r="AO3" s="44" t="n"/>
      <c r="AP3" s="44" t="n"/>
      <c r="AQ3" s="44" t="n"/>
      <c r="AR3" s="44" t="n"/>
      <c r="AS3" s="44" t="n"/>
      <c r="AT3" s="44" t="n"/>
      <c r="AU3" s="44" t="n"/>
      <c r="AV3" s="44" t="n"/>
      <c r="AW3" s="44" t="n"/>
      <c r="AX3" s="44" t="n"/>
      <c r="AY3" s="44" t="n"/>
      <c r="AZ3" s="44" t="n"/>
      <c r="BA3" s="44" t="n"/>
      <c r="BB3" s="45" t="n"/>
      <c r="BC3" s="26" t="inlineStr">
        <is>
          <t>FECHA:</t>
        </is>
      </c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25" t="inlineStr">
        <is>
          <t>JULIO 23 DEL 2026</t>
        </is>
      </c>
      <c r="BP3" s="48" t="n"/>
      <c r="BQ3" s="48" t="n"/>
      <c r="BR3" s="48" t="n"/>
      <c r="BS3" s="48" t="n"/>
      <c r="BT3" s="48" t="n"/>
      <c r="BU3" s="48" t="n"/>
      <c r="BV3" s="48" t="n"/>
      <c r="BW3" s="48" t="n"/>
      <c r="BX3" s="48" t="n"/>
      <c r="BY3" s="48" t="n"/>
      <c r="BZ3" s="49" t="n"/>
    </row>
    <row r="4" ht="25" customFormat="1" customHeight="1" s="2">
      <c r="A4" s="50" t="n"/>
      <c r="M4" s="51" t="n"/>
      <c r="N4" s="50" t="n"/>
      <c r="Y4" s="51" t="n"/>
      <c r="Z4" s="52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4" t="n"/>
      <c r="BC4" s="26" t="inlineStr">
        <is>
          <t>ELABORO:</t>
        </is>
      </c>
      <c r="BD4" s="46" t="n"/>
      <c r="BE4" s="46" t="n"/>
      <c r="BF4" s="46" t="n"/>
      <c r="BG4" s="46" t="n"/>
      <c r="BH4" s="46" t="n"/>
      <c r="BI4" s="46" t="n"/>
      <c r="BJ4" s="46" t="n"/>
      <c r="BK4" s="46" t="n"/>
      <c r="BL4" s="46" t="n"/>
      <c r="BM4" s="46" t="n"/>
      <c r="BN4" s="47" t="n"/>
      <c r="BO4" s="25" t="inlineStr">
        <is>
          <t>J.ARBOLEDA</t>
        </is>
      </c>
      <c r="BP4" s="48" t="n"/>
      <c r="BQ4" s="48" t="n"/>
      <c r="BR4" s="48" t="n"/>
      <c r="BS4" s="48" t="n"/>
      <c r="BT4" s="48" t="n"/>
      <c r="BU4" s="48" t="n"/>
      <c r="BV4" s="48" t="n"/>
      <c r="BW4" s="48" t="n"/>
      <c r="BX4" s="48" t="n"/>
      <c r="BY4" s="48" t="n"/>
      <c r="BZ4" s="49" t="n"/>
    </row>
    <row r="5" ht="25" customFormat="1" customHeight="1" s="2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4" t="n"/>
      <c r="N5" s="52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4" t="n"/>
      <c r="Z5" s="31" t="inlineStr">
        <is>
          <t>HOJA DE DATOS Y ESPECIFICACIONES TÉCNICAS DEL SISTEMA DE FILTRACIÓN MERV 13-14</t>
        </is>
      </c>
      <c r="AA5" s="44" t="n"/>
      <c r="AB5" s="44" t="n"/>
      <c r="AC5" s="44" t="n"/>
      <c r="AD5" s="44" t="n"/>
      <c r="AE5" s="44" t="n"/>
      <c r="AF5" s="44" t="n"/>
      <c r="AG5" s="44" t="n"/>
      <c r="AH5" s="44" t="n"/>
      <c r="AI5" s="44" t="n"/>
      <c r="AJ5" s="44" t="n"/>
      <c r="AK5" s="44" t="n"/>
      <c r="AL5" s="44" t="n"/>
      <c r="AM5" s="44" t="n"/>
      <c r="AN5" s="44" t="n"/>
      <c r="AO5" s="44" t="n"/>
      <c r="AP5" s="44" t="n"/>
      <c r="AQ5" s="44" t="n"/>
      <c r="AR5" s="44" t="n"/>
      <c r="AS5" s="44" t="n"/>
      <c r="AT5" s="44" t="n"/>
      <c r="AU5" s="44" t="n"/>
      <c r="AV5" s="44" t="n"/>
      <c r="AW5" s="44" t="n"/>
      <c r="AX5" s="44" t="n"/>
      <c r="AY5" s="44" t="n"/>
      <c r="AZ5" s="44" t="n"/>
      <c r="BA5" s="44" t="n"/>
      <c r="BB5" s="45" t="n"/>
      <c r="BC5" s="26" t="inlineStr">
        <is>
          <t>REVISO:</t>
        </is>
      </c>
      <c r="BD5" s="46" t="n"/>
      <c r="BE5" s="46" t="n"/>
      <c r="BF5" s="46" t="n"/>
      <c r="BG5" s="46" t="n"/>
      <c r="BH5" s="46" t="n"/>
      <c r="BI5" s="46" t="n"/>
      <c r="BJ5" s="46" t="n"/>
      <c r="BK5" s="46" t="n"/>
      <c r="BL5" s="46" t="n"/>
      <c r="BM5" s="46" t="n"/>
      <c r="BN5" s="47" t="n"/>
      <c r="BO5" s="25" t="inlineStr">
        <is>
          <t>F.NAVIA</t>
        </is>
      </c>
      <c r="BP5" s="48" t="n"/>
      <c r="BQ5" s="48" t="n"/>
      <c r="BR5" s="48" t="n"/>
      <c r="BS5" s="48" t="n"/>
      <c r="BT5" s="48" t="n"/>
      <c r="BU5" s="48" t="n"/>
      <c r="BV5" s="48" t="n"/>
      <c r="BW5" s="48" t="n"/>
      <c r="BX5" s="48" t="n"/>
      <c r="BY5" s="48" t="n"/>
      <c r="BZ5" s="49" t="n"/>
    </row>
    <row r="6" ht="25" customFormat="1" customHeight="1" s="2">
      <c r="A6" s="28" t="inlineStr">
        <is>
          <t>PROYECTO</t>
        </is>
      </c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7" t="n"/>
      <c r="N6" s="28" t="inlineStr">
        <is>
          <t>P2437</t>
        </is>
      </c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7" t="n"/>
      <c r="Z6" s="52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4" t="n"/>
      <c r="BC6" s="26" t="inlineStr">
        <is>
          <t>APROBO:</t>
        </is>
      </c>
      <c r="BD6" s="46" t="n"/>
      <c r="BE6" s="46" t="n"/>
      <c r="BF6" s="46" t="n"/>
      <c r="BG6" s="46" t="n"/>
      <c r="BH6" s="46" t="n"/>
      <c r="BI6" s="46" t="n"/>
      <c r="BJ6" s="46" t="n"/>
      <c r="BK6" s="46" t="n"/>
      <c r="BL6" s="46" t="n"/>
      <c r="BM6" s="46" t="n"/>
      <c r="BN6" s="47" t="n"/>
      <c r="BO6" s="25" t="inlineStr">
        <is>
          <t>H.ROSERO</t>
        </is>
      </c>
      <c r="BP6" s="48" t="n"/>
      <c r="BQ6" s="48" t="n"/>
      <c r="BR6" s="48" t="n"/>
      <c r="BS6" s="48" t="n"/>
      <c r="BT6" s="48" t="n"/>
      <c r="BU6" s="48" t="n"/>
      <c r="BV6" s="48" t="n"/>
      <c r="BW6" s="48" t="n"/>
      <c r="BX6" s="48" t="n"/>
      <c r="BY6" s="48" t="n"/>
      <c r="BZ6" s="49" t="n"/>
    </row>
    <row r="7" ht="15" customHeight="1"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5" t="n"/>
      <c r="AD7" s="21" t="n"/>
      <c r="AE7" s="21" t="n"/>
      <c r="AF7" s="21" t="n"/>
      <c r="CD7" s="7" t="n"/>
    </row>
    <row r="8" ht="15" customHeight="1"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5" t="n"/>
      <c r="AD8" s="21" t="n"/>
      <c r="AE8" s="21" t="n"/>
      <c r="AF8" s="21" t="n"/>
      <c r="CD8" s="7" t="n"/>
    </row>
    <row r="9" ht="15" customHeight="1"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5" t="n"/>
      <c r="AD9" s="21" t="n"/>
      <c r="AE9" s="21" t="n"/>
      <c r="AF9" s="21" t="n"/>
      <c r="CD9" s="7" t="n"/>
    </row>
    <row r="10" ht="15" customHeight="1"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5" t="n"/>
      <c r="AD10" s="21" t="n"/>
      <c r="AE10" s="21" t="n"/>
      <c r="AF10" s="21" t="n"/>
      <c r="CD10" s="7" t="n"/>
    </row>
    <row r="11" ht="15" customHeight="1"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5" t="n"/>
      <c r="AD11" s="21" t="n"/>
      <c r="AE11" s="21" t="n"/>
      <c r="AF11" s="21" t="n"/>
      <c r="CD11" s="7" t="n"/>
    </row>
    <row r="12" ht="15" customHeight="1"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5" t="n"/>
      <c r="AD12" s="21" t="n"/>
      <c r="AE12" s="21" t="n"/>
      <c r="AF12" s="21" t="n"/>
      <c r="CD12" s="7" t="n"/>
    </row>
    <row r="13" ht="15" customHeight="1"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5" t="n"/>
      <c r="AD13" s="21" t="n"/>
      <c r="AE13" s="21" t="n"/>
      <c r="AF13" s="21" t="n"/>
      <c r="CD13" s="7" t="n"/>
    </row>
    <row r="14" ht="15" customHeight="1"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5" t="n"/>
      <c r="AD14" s="21" t="n"/>
      <c r="AE14" s="21" t="n"/>
      <c r="AF14" s="21" t="n"/>
      <c r="CD14" s="7" t="n"/>
    </row>
    <row r="15" ht="15" customHeight="1"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5" t="n"/>
      <c r="AD15" s="21" t="n"/>
      <c r="AE15" s="21" t="n"/>
      <c r="AF15" s="21" t="n"/>
      <c r="CD15" s="7" t="n"/>
    </row>
    <row r="16" ht="15" customHeight="1"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5" t="n"/>
      <c r="AD16" s="21" t="n"/>
      <c r="AE16" s="21" t="n"/>
      <c r="AF16" s="21" t="n"/>
      <c r="CD16" s="7" t="n"/>
    </row>
    <row r="17" ht="15" customHeight="1"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5" t="n"/>
      <c r="AD17" s="21" t="n"/>
      <c r="AE17" s="21" t="n"/>
      <c r="AF17" s="21" t="n"/>
      <c r="CD17" s="7" t="n"/>
    </row>
    <row r="18" ht="15" customHeight="1"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5" t="n"/>
      <c r="AD18" s="21" t="n"/>
      <c r="AE18" s="21" t="n"/>
      <c r="AF18" s="21" t="n"/>
      <c r="CD18" s="7" t="n"/>
    </row>
    <row r="19" ht="15" customHeight="1"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5" t="n"/>
      <c r="AD19" s="21" t="n"/>
      <c r="AE19" s="21" t="n"/>
      <c r="AF19" s="21" t="n"/>
      <c r="CD19" s="7" t="n"/>
    </row>
    <row r="20" ht="15" customHeight="1"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5" t="n"/>
      <c r="AD20" s="21" t="n"/>
      <c r="AE20" s="21" t="n"/>
      <c r="AF20" s="21" t="n"/>
      <c r="CD20" s="7" t="n"/>
    </row>
    <row r="21" ht="15" customHeight="1"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41" t="inlineStr">
        <is>
          <t>Elaborado por:</t>
        </is>
      </c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5" t="n"/>
      <c r="AF21" s="41" t="inlineStr">
        <is>
          <t>Revisado por:</t>
        </is>
      </c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5" t="n"/>
      <c r="AT21" s="41" t="inlineStr">
        <is>
          <t>Aprobado por:</t>
        </is>
      </c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5" t="n"/>
    </row>
    <row r="22" ht="15" customHeight="1"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50" t="n"/>
      <c r="AE22" s="51" t="n"/>
      <c r="AF22" s="50" t="n"/>
      <c r="AS22" s="51" t="n"/>
      <c r="AT22" s="50" t="n"/>
      <c r="BG22" s="51" t="n"/>
    </row>
    <row r="23" ht="15" customHeight="1"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52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4" t="n"/>
      <c r="AF23" s="52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4" t="n"/>
      <c r="AT23" s="52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4" t="n"/>
    </row>
    <row r="24" ht="15" customHeight="1"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3" t="inlineStr">
        <is>
          <t>J.ARBOLEDA</t>
        </is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5" t="n"/>
      <c r="AF24" s="2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5" t="n"/>
      <c r="AT24" s="2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5" t="n"/>
    </row>
    <row r="25" ht="15" customHeight="1"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50" t="n"/>
      <c r="AE25" s="51" t="n"/>
      <c r="AF25" s="50" t="n"/>
      <c r="AS25" s="51" t="n"/>
      <c r="AT25" s="50" t="n"/>
      <c r="BG25" s="51" t="n"/>
    </row>
    <row r="26" ht="15" customHeight="1"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52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4" t="n"/>
      <c r="AF26" s="52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4" t="n"/>
      <c r="AT26" s="52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4" t="n"/>
    </row>
    <row r="27" ht="15" customHeight="1"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4">
        <f>"Fecha :"&amp;BO3</f>
        <v/>
      </c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5" t="n"/>
      <c r="AF27" s="24">
        <f>"Fecha :"&amp;CC1</f>
        <v/>
      </c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  <c r="AQ27" s="44" t="n"/>
      <c r="AR27" s="44" t="n"/>
      <c r="AS27" s="45" t="n"/>
      <c r="AT27" s="24">
        <f>"Fecha :"&amp;CC2</f>
        <v/>
      </c>
      <c r="AU27" s="44" t="n"/>
      <c r="AV27" s="44" t="n"/>
      <c r="AW27" s="44" t="n"/>
      <c r="AX27" s="44" t="n"/>
      <c r="AY27" s="44" t="n"/>
      <c r="AZ27" s="44" t="n"/>
      <c r="BA27" s="44" t="n"/>
      <c r="BB27" s="44" t="n"/>
      <c r="BC27" s="44" t="n"/>
      <c r="BD27" s="44" t="n"/>
      <c r="BE27" s="44" t="n"/>
      <c r="BF27" s="44" t="n"/>
      <c r="BG27" s="45" t="n"/>
    </row>
    <row r="28" ht="15" customHeight="1"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50" t="n"/>
      <c r="AE28" s="51" t="n"/>
      <c r="AF28" s="50" t="n"/>
      <c r="AS28" s="51" t="n"/>
      <c r="AT28" s="50" t="n"/>
      <c r="BG28" s="51" t="n"/>
    </row>
    <row r="29" ht="15" customHeight="1"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52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4" t="n"/>
      <c r="AF29" s="52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4" t="n"/>
      <c r="AT29" s="52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4" t="n"/>
    </row>
    <row r="30" ht="15" customHeight="1"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5" t="n"/>
      <c r="AD30" s="21" t="n"/>
      <c r="AE30" s="21" t="n"/>
      <c r="AF30" s="21" t="n"/>
    </row>
    <row r="31" ht="15" customHeight="1"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5" t="n"/>
      <c r="AD31" s="21" t="n"/>
      <c r="AE31" s="21" t="n"/>
      <c r="AF31" s="21" t="n"/>
    </row>
    <row r="32" ht="15" customHeight="1"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5" t="n"/>
      <c r="AD32" s="21" t="n"/>
      <c r="AE32" s="21" t="n"/>
      <c r="AF32" s="21" t="n"/>
    </row>
    <row r="33" ht="15" customHeight="1"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5" t="n"/>
      <c r="AD33" s="21" t="n"/>
      <c r="AE33" s="21" t="n"/>
      <c r="AF33" s="21" t="n"/>
    </row>
    <row r="34" ht="15" customHeight="1"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5" t="n"/>
      <c r="AD34" s="21" t="n"/>
      <c r="AE34" s="21" t="n"/>
      <c r="AF34" s="21" t="n"/>
    </row>
    <row r="35" ht="15" customHeight="1"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5" t="n"/>
      <c r="AD35" s="21" t="n"/>
      <c r="AE35" s="21" t="n"/>
      <c r="AF35" s="21" t="n"/>
    </row>
    <row r="36" ht="15" customHeight="1"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5" t="n"/>
      <c r="AD36" s="21" t="n"/>
      <c r="AE36" s="21" t="n"/>
      <c r="AF36" s="21" t="n"/>
      <c r="BK36" s="21" t="n"/>
    </row>
    <row r="37" ht="15" customHeight="1"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5" t="n"/>
      <c r="AD37" s="21" t="n"/>
      <c r="AE37" s="21" t="n"/>
      <c r="AF37" s="21" t="n"/>
    </row>
    <row r="38" ht="15" customHeight="1"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5" t="n"/>
      <c r="AD38" s="21" t="n"/>
      <c r="AE38" s="21" t="n"/>
      <c r="AF38" s="21" t="n"/>
    </row>
    <row r="39" ht="15" customHeight="1">
      <c r="G39" s="21" t="n"/>
      <c r="H39" s="21" t="n"/>
      <c r="I39" s="21" t="n"/>
      <c r="J39" s="21" t="n"/>
      <c r="K39" s="21" t="n"/>
      <c r="L39" s="21" t="n"/>
      <c r="M39" s="21" t="n"/>
      <c r="N39" s="21" t="n"/>
      <c r="O39" s="42" t="inlineStr">
        <is>
          <t>Versión</t>
        </is>
      </c>
      <c r="P39" s="44" t="n"/>
      <c r="Q39" s="44" t="n"/>
      <c r="R39" s="44" t="n"/>
      <c r="S39" s="44" t="n"/>
      <c r="T39" s="44" t="n"/>
      <c r="U39" s="45" t="n"/>
      <c r="V39" s="42" t="inlineStr">
        <is>
          <t>Autor</t>
        </is>
      </c>
      <c r="W39" s="44" t="n"/>
      <c r="X39" s="44" t="n"/>
      <c r="Y39" s="44" t="n"/>
      <c r="Z39" s="44" t="n"/>
      <c r="AA39" s="44" t="n"/>
      <c r="AB39" s="45" t="n"/>
      <c r="AC39" s="43" t="inlineStr">
        <is>
          <t>Descripción</t>
        </is>
      </c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5" t="n"/>
      <c r="AP39" s="42" t="inlineStr">
        <is>
          <t>Fecha de elaboración</t>
        </is>
      </c>
      <c r="AQ39" s="44" t="n"/>
      <c r="AR39" s="44" t="n"/>
      <c r="AS39" s="44" t="n"/>
      <c r="AT39" s="44" t="n"/>
      <c r="AU39" s="44" t="n"/>
      <c r="AV39" s="45" t="n"/>
      <c r="AW39" s="42" t="inlineStr">
        <is>
          <t>Fecha de revisión</t>
        </is>
      </c>
      <c r="AX39" s="44" t="n"/>
      <c r="AY39" s="44" t="n"/>
      <c r="AZ39" s="44" t="n"/>
      <c r="BA39" s="44" t="n"/>
      <c r="BB39" s="44" t="n"/>
      <c r="BC39" s="45" t="n"/>
      <c r="BD39" s="42" t="inlineStr">
        <is>
          <t>Revisado por</t>
        </is>
      </c>
      <c r="BE39" s="44" t="n"/>
      <c r="BF39" s="44" t="n"/>
      <c r="BG39" s="44" t="n"/>
      <c r="BH39" s="44" t="n"/>
      <c r="BI39" s="44" t="n"/>
      <c r="BJ39" s="45" t="n"/>
    </row>
    <row r="40" ht="15" customHeight="1">
      <c r="G40" s="21" t="n"/>
      <c r="H40" s="21" t="n"/>
      <c r="I40" s="21" t="n"/>
      <c r="J40" s="21" t="n"/>
      <c r="K40" s="21" t="n"/>
      <c r="L40" s="21" t="n"/>
      <c r="M40" s="21" t="n"/>
      <c r="N40" s="21" t="n"/>
      <c r="O40" s="50" t="n"/>
      <c r="U40" s="51" t="n"/>
      <c r="V40" s="50" t="n"/>
      <c r="AB40" s="51" t="n"/>
      <c r="AC40" s="50" t="n"/>
      <c r="AO40" s="51" t="n"/>
      <c r="AP40" s="50" t="n"/>
      <c r="AV40" s="51" t="n"/>
      <c r="AW40" s="50" t="n"/>
      <c r="BC40" s="51" t="n"/>
      <c r="BD40" s="50" t="n"/>
      <c r="BJ40" s="51" t="n"/>
    </row>
    <row r="41" ht="15" customHeight="1">
      <c r="G41" s="21" t="n"/>
      <c r="H41" s="21" t="n"/>
      <c r="I41" s="21" t="n"/>
      <c r="J41" s="21" t="n"/>
      <c r="K41" s="21" t="n"/>
      <c r="L41" s="21" t="n"/>
      <c r="M41" s="21" t="n"/>
      <c r="N41" s="21" t="n"/>
      <c r="O41" s="52" t="n"/>
      <c r="P41" s="53" t="n"/>
      <c r="Q41" s="53" t="n"/>
      <c r="R41" s="53" t="n"/>
      <c r="S41" s="53" t="n"/>
      <c r="T41" s="53" t="n"/>
      <c r="U41" s="54" t="n"/>
      <c r="V41" s="52" t="n"/>
      <c r="W41" s="53" t="n"/>
      <c r="X41" s="53" t="n"/>
      <c r="Y41" s="53" t="n"/>
      <c r="Z41" s="53" t="n"/>
      <c r="AA41" s="53" t="n"/>
      <c r="AB41" s="54" t="n"/>
      <c r="AC41" s="52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4" t="n"/>
      <c r="AP41" s="52" t="n"/>
      <c r="AQ41" s="53" t="n"/>
      <c r="AR41" s="53" t="n"/>
      <c r="AS41" s="53" t="n"/>
      <c r="AT41" s="53" t="n"/>
      <c r="AU41" s="53" t="n"/>
      <c r="AV41" s="54" t="n"/>
      <c r="AW41" s="52" t="n"/>
      <c r="AX41" s="53" t="n"/>
      <c r="AY41" s="53" t="n"/>
      <c r="AZ41" s="53" t="n"/>
      <c r="BA41" s="53" t="n"/>
      <c r="BB41" s="53" t="n"/>
      <c r="BC41" s="54" t="n"/>
      <c r="BD41" s="52" t="n"/>
      <c r="BE41" s="53" t="n"/>
      <c r="BF41" s="53" t="n"/>
      <c r="BG41" s="53" t="n"/>
      <c r="BH41" s="53" t="n"/>
      <c r="BI41" s="53" t="n"/>
      <c r="BJ41" s="54" t="n"/>
    </row>
    <row r="42" ht="15" customHeight="1">
      <c r="G42" s="21" t="n"/>
      <c r="H42" s="21" t="n"/>
      <c r="I42" s="21" t="n"/>
      <c r="J42" s="21" t="n"/>
      <c r="K42" s="21" t="n"/>
      <c r="L42" s="21" t="n"/>
      <c r="M42" s="21" t="n"/>
      <c r="N42" s="21" t="n"/>
      <c r="O42" s="37" t="inlineStr">
        <is>
          <t>CERO (0)</t>
        </is>
      </c>
      <c r="P42" s="44" t="n"/>
      <c r="Q42" s="44" t="n"/>
      <c r="R42" s="44" t="n"/>
      <c r="S42" s="44" t="n"/>
      <c r="T42" s="44" t="n"/>
      <c r="U42" s="45" t="n"/>
      <c r="V42" s="37" t="inlineStr">
        <is>
          <t>J.ARBOLEDA</t>
        </is>
      </c>
      <c r="W42" s="44" t="n"/>
      <c r="X42" s="44" t="n"/>
      <c r="Y42" s="44" t="n"/>
      <c r="Z42" s="44" t="n"/>
      <c r="AA42" s="44" t="n"/>
      <c r="AB42" s="45" t="n"/>
      <c r="AC42" s="38" t="inlineStr">
        <is>
          <t>Emitido para cotizacion</t>
        </is>
      </c>
      <c r="AD42" s="44" t="n"/>
      <c r="AE42" s="44" t="n"/>
      <c r="AF42" s="44" t="n"/>
      <c r="AG42" s="44" t="n"/>
      <c r="AH42" s="44" t="n"/>
      <c r="AI42" s="44" t="n"/>
      <c r="AJ42" s="44" t="n"/>
      <c r="AK42" s="44" t="n"/>
      <c r="AL42" s="44" t="n"/>
      <c r="AM42" s="44" t="n"/>
      <c r="AN42" s="44" t="n"/>
      <c r="AO42" s="45" t="n"/>
      <c r="AP42" s="39">
        <f>BO3</f>
        <v/>
      </c>
      <c r="AQ42" s="44" t="n"/>
      <c r="AR42" s="44" t="n"/>
      <c r="AS42" s="44" t="n"/>
      <c r="AT42" s="44" t="n"/>
      <c r="AU42" s="44" t="n"/>
      <c r="AV42" s="45" t="n"/>
      <c r="AW42" s="39">
        <f>AT27</f>
        <v/>
      </c>
      <c r="AX42" s="44" t="n"/>
      <c r="AY42" s="44" t="n"/>
      <c r="AZ42" s="44" t="n"/>
      <c r="BA42" s="44" t="n"/>
      <c r="BB42" s="44" t="n"/>
      <c r="BC42" s="45" t="n"/>
      <c r="BD42" s="40">
        <f>BO5</f>
        <v/>
      </c>
      <c r="BE42" s="44" t="n"/>
      <c r="BF42" s="44" t="n"/>
      <c r="BG42" s="44" t="n"/>
      <c r="BH42" s="44" t="n"/>
      <c r="BI42" s="44" t="n"/>
      <c r="BJ42" s="45" t="n"/>
    </row>
    <row r="43" ht="15" customHeight="1">
      <c r="G43" s="21" t="n"/>
      <c r="H43" s="21" t="n"/>
      <c r="I43" s="21" t="n"/>
      <c r="J43" s="21" t="n"/>
      <c r="K43" s="21" t="n"/>
      <c r="L43" s="21" t="n"/>
      <c r="M43" s="21" t="n"/>
      <c r="N43" s="21" t="n"/>
      <c r="O43" s="50" t="n"/>
      <c r="U43" s="51" t="n"/>
      <c r="V43" s="50" t="n"/>
      <c r="AB43" s="51" t="n"/>
      <c r="AC43" s="50" t="n"/>
      <c r="AO43" s="51" t="n"/>
      <c r="AP43" s="50" t="n"/>
      <c r="AV43" s="51" t="n"/>
      <c r="AW43" s="50" t="n"/>
      <c r="BC43" s="51" t="n"/>
      <c r="BD43" s="50" t="n"/>
      <c r="BJ43" s="51" t="n"/>
      <c r="BP43" s="21" t="n"/>
    </row>
    <row r="44" ht="15" customHeight="1">
      <c r="G44" s="21" t="n"/>
      <c r="H44" s="21" t="n"/>
      <c r="I44" s="21" t="n"/>
      <c r="J44" s="21" t="n"/>
      <c r="K44" s="21" t="n"/>
      <c r="L44" s="21" t="n"/>
      <c r="M44" s="21" t="n"/>
      <c r="N44" s="21" t="n"/>
      <c r="O44" s="52" t="n"/>
      <c r="P44" s="53" t="n"/>
      <c r="Q44" s="53" t="n"/>
      <c r="R44" s="53" t="n"/>
      <c r="S44" s="53" t="n"/>
      <c r="T44" s="53" t="n"/>
      <c r="U44" s="54" t="n"/>
      <c r="V44" s="52" t="n"/>
      <c r="W44" s="53" t="n"/>
      <c r="X44" s="53" t="n"/>
      <c r="Y44" s="53" t="n"/>
      <c r="Z44" s="53" t="n"/>
      <c r="AA44" s="53" t="n"/>
      <c r="AB44" s="54" t="n"/>
      <c r="AC44" s="52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4" t="n"/>
      <c r="AP44" s="52" t="n"/>
      <c r="AQ44" s="53" t="n"/>
      <c r="AR44" s="53" t="n"/>
      <c r="AS44" s="53" t="n"/>
      <c r="AT44" s="53" t="n"/>
      <c r="AU44" s="53" t="n"/>
      <c r="AV44" s="54" t="n"/>
      <c r="AW44" s="52" t="n"/>
      <c r="AX44" s="53" t="n"/>
      <c r="AY44" s="53" t="n"/>
      <c r="AZ44" s="53" t="n"/>
      <c r="BA44" s="53" t="n"/>
      <c r="BB44" s="53" t="n"/>
      <c r="BC44" s="54" t="n"/>
      <c r="BD44" s="52" t="n"/>
      <c r="BE44" s="53" t="n"/>
      <c r="BF44" s="53" t="n"/>
      <c r="BG44" s="53" t="n"/>
      <c r="BH44" s="53" t="n"/>
      <c r="BI44" s="53" t="n"/>
      <c r="BJ44" s="54" t="n"/>
    </row>
    <row r="45" ht="15" customHeight="1">
      <c r="G45" s="21" t="n"/>
      <c r="H45" s="21" t="n"/>
      <c r="I45" s="21" t="n"/>
      <c r="J45" s="21" t="n"/>
      <c r="K45" s="21" t="n"/>
      <c r="L45" s="21" t="n"/>
      <c r="M45" s="21" t="n"/>
      <c r="N45" s="21" t="n"/>
      <c r="O45" s="20" t="n"/>
      <c r="P45" s="44" t="n"/>
      <c r="Q45" s="44" t="n"/>
      <c r="R45" s="44" t="n"/>
      <c r="S45" s="44" t="n"/>
      <c r="T45" s="44" t="n"/>
      <c r="U45" s="45" t="n"/>
      <c r="V45" s="20" t="n"/>
      <c r="W45" s="44" t="n"/>
      <c r="X45" s="44" t="n"/>
      <c r="Y45" s="44" t="n"/>
      <c r="Z45" s="44" t="n"/>
      <c r="AA45" s="44" t="n"/>
      <c r="AB45" s="45" t="n"/>
      <c r="AC45" s="22" t="n"/>
      <c r="AD45" s="44" t="n"/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5" t="n"/>
      <c r="AP45" s="20" t="n"/>
      <c r="AQ45" s="44" t="n"/>
      <c r="AR45" s="44" t="n"/>
      <c r="AS45" s="44" t="n"/>
      <c r="AT45" s="44" t="n"/>
      <c r="AU45" s="44" t="n"/>
      <c r="AV45" s="45" t="n"/>
      <c r="AW45" s="20" t="n"/>
      <c r="AX45" s="44" t="n"/>
      <c r="AY45" s="44" t="n"/>
      <c r="AZ45" s="44" t="n"/>
      <c r="BA45" s="44" t="n"/>
      <c r="BB45" s="44" t="n"/>
      <c r="BC45" s="45" t="n"/>
      <c r="BD45" s="20" t="n"/>
      <c r="BE45" s="44" t="n"/>
      <c r="BF45" s="44" t="n"/>
      <c r="BG45" s="44" t="n"/>
      <c r="BH45" s="44" t="n"/>
      <c r="BI45" s="44" t="n"/>
      <c r="BJ45" s="45" t="n"/>
    </row>
    <row r="46" ht="15" customHeight="1">
      <c r="G46" s="21" t="n"/>
      <c r="H46" s="21" t="n"/>
      <c r="I46" s="21" t="n"/>
      <c r="J46" s="21" t="n"/>
      <c r="K46" s="21" t="n"/>
      <c r="L46" s="21" t="n"/>
      <c r="M46" s="21" t="n"/>
      <c r="N46" s="21" t="n"/>
      <c r="O46" s="50" t="n"/>
      <c r="U46" s="51" t="n"/>
      <c r="V46" s="50" t="n"/>
      <c r="AB46" s="51" t="n"/>
      <c r="AC46" s="50" t="n"/>
      <c r="AO46" s="51" t="n"/>
      <c r="AP46" s="50" t="n"/>
      <c r="AV46" s="51" t="n"/>
      <c r="AW46" s="50" t="n"/>
      <c r="BC46" s="51" t="n"/>
      <c r="BD46" s="50" t="n"/>
      <c r="BJ46" s="51" t="n"/>
    </row>
    <row r="47" ht="15" customHeight="1">
      <c r="G47" s="21" t="n"/>
      <c r="H47" s="21" t="n"/>
      <c r="I47" s="21" t="n"/>
      <c r="J47" s="21" t="n"/>
      <c r="K47" s="21" t="n"/>
      <c r="L47" s="21" t="n"/>
      <c r="M47" s="21" t="n"/>
      <c r="N47" s="21" t="n"/>
      <c r="O47" s="52" t="n"/>
      <c r="P47" s="53" t="n"/>
      <c r="Q47" s="53" t="n"/>
      <c r="R47" s="53" t="n"/>
      <c r="S47" s="53" t="n"/>
      <c r="T47" s="53" t="n"/>
      <c r="U47" s="54" t="n"/>
      <c r="V47" s="52" t="n"/>
      <c r="W47" s="53" t="n"/>
      <c r="X47" s="53" t="n"/>
      <c r="Y47" s="53" t="n"/>
      <c r="Z47" s="53" t="n"/>
      <c r="AA47" s="53" t="n"/>
      <c r="AB47" s="54" t="n"/>
      <c r="AC47" s="52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4" t="n"/>
      <c r="AP47" s="52" t="n"/>
      <c r="AQ47" s="53" t="n"/>
      <c r="AR47" s="53" t="n"/>
      <c r="AS47" s="53" t="n"/>
      <c r="AT47" s="53" t="n"/>
      <c r="AU47" s="53" t="n"/>
      <c r="AV47" s="54" t="n"/>
      <c r="AW47" s="52" t="n"/>
      <c r="AX47" s="53" t="n"/>
      <c r="AY47" s="53" t="n"/>
      <c r="AZ47" s="53" t="n"/>
      <c r="BA47" s="53" t="n"/>
      <c r="BB47" s="53" t="n"/>
      <c r="BC47" s="54" t="n"/>
      <c r="BD47" s="52" t="n"/>
      <c r="BE47" s="53" t="n"/>
      <c r="BF47" s="53" t="n"/>
      <c r="BG47" s="53" t="n"/>
      <c r="BH47" s="53" t="n"/>
      <c r="BI47" s="53" t="n"/>
      <c r="BJ47" s="54" t="n"/>
    </row>
    <row r="48" ht="15" customHeight="1">
      <c r="O48" s="19" t="n"/>
      <c r="V48" s="19" t="n"/>
      <c r="AC48" s="19" t="n"/>
      <c r="AP48" s="19" t="n"/>
      <c r="AW48" s="19" t="n"/>
      <c r="BD48" s="19" t="n"/>
    </row>
    <row r="49" ht="15" customHeight="1"/>
    <row r="50" ht="15" customHeight="1"/>
    <row r="52" ht="15" customHeight="1">
      <c r="BH52" s="8" t="n"/>
      <c r="BI52" s="8" t="n"/>
      <c r="BJ52" s="8" t="n"/>
      <c r="BK52" s="8" t="n"/>
      <c r="BL52" s="8" t="n"/>
      <c r="BM52" s="9" t="n"/>
      <c r="BN52" s="9" t="n"/>
      <c r="BO52" s="9" t="n"/>
      <c r="BP52" s="9" t="n"/>
      <c r="BQ52" s="9" t="n"/>
      <c r="BR52" s="9" t="n"/>
    </row>
    <row r="54" ht="15" customHeight="1"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11" t="n"/>
      <c r="AQ54" s="11" t="n"/>
      <c r="AR54" s="11" t="n"/>
      <c r="AW54" s="3" t="n"/>
      <c r="AX54" s="3" t="n"/>
      <c r="AY54" s="3" t="n"/>
      <c r="AZ54" s="3" t="n"/>
      <c r="BA54" s="3" t="n"/>
    </row>
  </sheetData>
  <mergeCells count="54">
    <mergeCell ref="AW42:BC44"/>
    <mergeCell ref="V45:AB47"/>
    <mergeCell ref="BO2:BZ2"/>
    <mergeCell ref="AP45:AV47"/>
    <mergeCell ref="AW45:BC47"/>
    <mergeCell ref="AP48:AV50"/>
    <mergeCell ref="O42:U44"/>
    <mergeCell ref="AF27:AS29"/>
    <mergeCell ref="BC3:BN3"/>
    <mergeCell ref="AT27:BG29"/>
    <mergeCell ref="BO3:BZ3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BO5:BZ5"/>
    <mergeCell ref="R24:AE26"/>
    <mergeCell ref="BK36:BZ36"/>
    <mergeCell ref="V42:AB44"/>
    <mergeCell ref="Z1:BB2"/>
    <mergeCell ref="BC4:BN4"/>
    <mergeCell ref="N6:Y6"/>
    <mergeCell ref="R21:AE23"/>
    <mergeCell ref="AP42:AV44"/>
    <mergeCell ref="A6:M6"/>
    <mergeCell ref="V48:AB50"/>
    <mergeCell ref="BC1:BN1"/>
    <mergeCell ref="O39:U41"/>
    <mergeCell ref="AW39:BC41"/>
    <mergeCell ref="AW48:BC50"/>
    <mergeCell ref="AP39:AV41"/>
    <mergeCell ref="BO1:BZ1"/>
    <mergeCell ref="R27:AE29"/>
    <mergeCell ref="BO4:BZ4"/>
    <mergeCell ref="O45:U47"/>
    <mergeCell ref="A1:M5"/>
    <mergeCell ref="BD42:BJ44"/>
    <mergeCell ref="AC42:AO44"/>
    <mergeCell ref="BC6:BN6"/>
    <mergeCell ref="AF21:AS23"/>
    <mergeCell ref="BC2:BN2"/>
    <mergeCell ref="AC39:AO41"/>
    <mergeCell ref="BP43:BV43"/>
    <mergeCell ref="BO6:BZ6"/>
    <mergeCell ref="BD48:BJ50"/>
    <mergeCell ref="V39:AB41"/>
    <mergeCell ref="AT21:BG23"/>
    <mergeCell ref="BD39:BJ41"/>
    <mergeCell ref="Z3:BB4"/>
  </mergeCells>
  <printOptions horizontalCentered="1" verticalCentered="1"/>
  <pageMargins left="0.1968503937007874" right="0.1968503937007874" top="0.3937007874015748" bottom="0.3937007874015748" header="0.03937007874015748" footer="0.03937007874015748"/>
  <pageSetup orientation="landscape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cols>
    <col width="30.613281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9.25" customHeight="1">
      <c r="A1" s="35" t="n"/>
      <c r="B1" s="36" t="n"/>
      <c r="C1" s="35">
        <f>PORTADA!Z1</f>
        <v/>
      </c>
      <c r="D1" s="46" t="n"/>
      <c r="E1" s="46" t="n"/>
      <c r="F1" s="46" t="n"/>
      <c r="G1" s="46" t="n"/>
      <c r="H1" s="46" t="n"/>
      <c r="I1" s="46" t="n"/>
      <c r="J1" s="46" t="n"/>
      <c r="K1" s="46" t="n"/>
      <c r="L1" s="47" t="n"/>
      <c r="M1" s="12" t="inlineStr">
        <is>
          <t>CODIGO:</t>
        </is>
      </c>
      <c r="N1" s="32">
        <f>PORTADA!BO1</f>
        <v/>
      </c>
      <c r="O1" s="47" t="n"/>
    </row>
    <row r="2" ht="29.25" customHeight="1">
      <c r="A2" s="56" t="n"/>
      <c r="B2" s="56" t="n"/>
      <c r="C2" s="35">
        <f>PORTADA!Z3</f>
        <v/>
      </c>
      <c r="D2" s="44" t="n"/>
      <c r="E2" s="44" t="n"/>
      <c r="F2" s="44" t="n"/>
      <c r="G2" s="44" t="n"/>
      <c r="H2" s="44" t="n"/>
      <c r="I2" s="44" t="n"/>
      <c r="J2" s="44" t="n"/>
      <c r="K2" s="44" t="n"/>
      <c r="L2" s="45" t="n"/>
      <c r="M2" s="12" t="inlineStr">
        <is>
          <t>REVISION:</t>
        </is>
      </c>
      <c r="N2" s="32">
        <f>PORTADA!BO2</f>
        <v/>
      </c>
      <c r="O2" s="47" t="n"/>
    </row>
    <row r="3" ht="29.25" customHeight="1">
      <c r="A3" s="56" t="n"/>
      <c r="B3" s="56" t="n"/>
      <c r="C3" s="52" t="n"/>
      <c r="D3" s="53" t="n"/>
      <c r="E3" s="53" t="n"/>
      <c r="F3" s="53" t="n"/>
      <c r="G3" s="53" t="n"/>
      <c r="H3" s="53" t="n"/>
      <c r="I3" s="53" t="n"/>
      <c r="J3" s="53" t="n"/>
      <c r="K3" s="53" t="n"/>
      <c r="L3" s="54" t="n"/>
      <c r="M3" s="12" t="inlineStr">
        <is>
          <t>FECHA:</t>
        </is>
      </c>
      <c r="N3" s="32">
        <f>PORTADA!BO3</f>
        <v/>
      </c>
      <c r="O3" s="47" t="n"/>
    </row>
    <row r="4" ht="29.25" customHeight="1">
      <c r="A4" s="56" t="n"/>
      <c r="B4" s="56" t="n"/>
      <c r="C4" s="35">
        <f>PORTADA!Z5</f>
        <v/>
      </c>
      <c r="D4" s="44" t="n"/>
      <c r="E4" s="44" t="n"/>
      <c r="F4" s="44" t="n"/>
      <c r="G4" s="44" t="n"/>
      <c r="H4" s="44" t="n"/>
      <c r="I4" s="44" t="n"/>
      <c r="J4" s="44" t="n"/>
      <c r="K4" s="44" t="n"/>
      <c r="L4" s="45" t="n"/>
      <c r="M4" s="12" t="inlineStr">
        <is>
          <t>ELABORO:</t>
        </is>
      </c>
      <c r="N4" s="32">
        <f>PORTADA!BO4</f>
        <v/>
      </c>
      <c r="O4" s="47" t="n"/>
    </row>
    <row r="5" ht="29.25" customHeight="1">
      <c r="A5" s="57" t="n"/>
      <c r="B5" s="57" t="n"/>
      <c r="C5" s="50" t="n"/>
      <c r="L5" s="51" t="n"/>
      <c r="M5" s="12" t="inlineStr">
        <is>
          <t xml:space="preserve">REVISO:      </t>
        </is>
      </c>
      <c r="N5" s="32">
        <f>PORTADA!BO5</f>
        <v/>
      </c>
      <c r="O5" s="47" t="n"/>
    </row>
    <row r="6" ht="29.25" customHeight="1">
      <c r="A6" s="12" t="inlineStr">
        <is>
          <t>PROYECTO:</t>
        </is>
      </c>
      <c r="B6" s="35">
        <f>PORTADA!N6</f>
        <v/>
      </c>
      <c r="C6" s="52" t="n"/>
      <c r="D6" s="53" t="n"/>
      <c r="E6" s="53" t="n"/>
      <c r="F6" s="53" t="n"/>
      <c r="G6" s="53" t="n"/>
      <c r="H6" s="53" t="n"/>
      <c r="I6" s="53" t="n"/>
      <c r="J6" s="53" t="n"/>
      <c r="K6" s="53" t="n"/>
      <c r="L6" s="54" t="n"/>
      <c r="M6" s="12" t="inlineStr">
        <is>
          <t>APROBO:</t>
        </is>
      </c>
      <c r="N6" s="32">
        <f>PORTADA!BO6</f>
        <v/>
      </c>
      <c r="O6" s="47" t="n"/>
    </row>
    <row r="7" ht="25" customHeight="1">
      <c r="A7" s="18" t="n">
        <v>1</v>
      </c>
      <c r="B7" s="18" t="n">
        <v>2</v>
      </c>
      <c r="C7" s="18" t="n">
        <v>3</v>
      </c>
      <c r="D7" s="18" t="n">
        <v>4</v>
      </c>
      <c r="E7" s="18" t="n">
        <v>5</v>
      </c>
      <c r="F7" s="18" t="n">
        <v>6</v>
      </c>
      <c r="G7" s="18" t="n">
        <v>7</v>
      </c>
      <c r="H7" s="18" t="n">
        <v>8</v>
      </c>
      <c r="I7" s="18" t="n">
        <v>9</v>
      </c>
      <c r="J7" s="18" t="n">
        <v>10</v>
      </c>
      <c r="K7" s="18" t="n">
        <v>11</v>
      </c>
      <c r="L7" s="18" t="n">
        <v>12</v>
      </c>
      <c r="M7" s="18" t="n">
        <v>13</v>
      </c>
      <c r="N7" s="18" t="n">
        <v>14</v>
      </c>
      <c r="O7" s="18" t="n">
        <v>15</v>
      </c>
    </row>
    <row r="9">
      <c r="A9" s="58" t="inlineStr">
        <is>
          <t>Hoja de datos: etapa de filtración (prefiltro MERV 8 + filtro final MERV 13-14)</t>
        </is>
      </c>
    </row>
    <row r="10">
      <c r="A10" s="59" t="inlineStr">
        <is>
          <t>Campo</t>
        </is>
      </c>
      <c r="B10" s="59" t="inlineStr">
        <is>
          <t>Valor</t>
        </is>
      </c>
      <c r="C10" s="59" t="n"/>
      <c r="D10" s="59" t="n"/>
      <c r="E10" s="59" t="n"/>
      <c r="F10" s="59" t="n"/>
    </row>
    <row r="11">
      <c r="A11" s="60" t="inlineStr">
        <is>
          <t>Código</t>
        </is>
      </c>
      <c r="B11" s="60" t="inlineStr">
        <is>
          <t>HD-FILT-001</t>
        </is>
      </c>
      <c r="C11" s="61" t="n"/>
      <c r="D11" s="61" t="n"/>
      <c r="E11" s="61" t="n"/>
      <c r="F11" s="61" t="n"/>
    </row>
    <row r="12">
      <c r="A12" s="60" t="inlineStr">
        <is>
          <t>Revisión</t>
        </is>
      </c>
      <c r="B12" s="60" t="inlineStr">
        <is>
          <t>0</t>
        </is>
      </c>
      <c r="C12" s="61" t="n"/>
      <c r="D12" s="61" t="n"/>
      <c r="E12" s="61" t="n"/>
      <c r="F12" s="61" t="n"/>
    </row>
    <row r="13">
      <c r="A13" s="60" t="inlineStr">
        <is>
          <t>Fecha</t>
        </is>
      </c>
      <c r="B13" s="60" t="inlineStr">
        <is>
          <t>2026-07-23</t>
        </is>
      </c>
      <c r="C13" s="61" t="n"/>
      <c r="D13" s="61" t="n"/>
      <c r="E13" s="61" t="n"/>
      <c r="F13" s="61" t="n"/>
    </row>
    <row r="14">
      <c r="A14" s="60" t="inlineStr">
        <is>
          <t>Proyecto</t>
        </is>
      </c>
      <c r="B14" s="60" t="inlineStr">
        <is>
          <t>P2437-HV-INF-001 — BRINSA, laboratorio de análisis industrial, Cajicá</t>
        </is>
      </c>
      <c r="C14" s="61" t="n"/>
      <c r="D14" s="61" t="n"/>
      <c r="E14" s="61" t="n"/>
      <c r="F14" s="61" t="n"/>
    </row>
    <row r="15">
      <c r="A15" s="60" t="inlineStr">
        <is>
          <t>Etiqueta de equipo</t>
        </is>
      </c>
      <c r="B15" s="60" t="inlineStr">
        <is>
          <t>FILT-001 (banco de filtración de la impulsión)</t>
        </is>
      </c>
      <c r="C15" s="61" t="n"/>
      <c r="D15" s="61" t="n"/>
      <c r="E15" s="61" t="n"/>
      <c r="F15" s="61" t="n"/>
    </row>
    <row r="18">
      <c r="A18" s="62" t="inlineStr">
        <is>
          <t>1. Servicio</t>
        </is>
      </c>
    </row>
    <row r="19">
      <c r="A19" s="63" t="inlineStr">
        <is>
          <t>1.1. Filtración del aire exterior de impulsión (3 840 m³/h) para exclusión de polvo, insectos y objetos extraños, aguas arriba del laboratorio presurizado a +25 Pa. No es un servicio de biocontención: no se requiere HEPA. Ambiente exterior corrosivo (atmósfera clorada de planta de hipoclorito de calcio, HR media 84 %).</t>
        </is>
      </c>
    </row>
    <row r="20"/>
    <row r="21"/>
    <row r="22"/>
    <row r="24">
      <c r="A24" s="62" t="inlineStr">
        <is>
          <t>2. Especificación de eficiencia</t>
        </is>
      </c>
    </row>
    <row r="25">
      <c r="A25" s="64" t="inlineStr">
        <is>
          <t>Tabla 1. Clases de eficiencia exigidas (consulta 2026-07-23).</t>
        </is>
      </c>
    </row>
    <row r="26">
      <c r="A26" s="59" t="inlineStr">
        <is>
          <t>Etapa</t>
        </is>
      </c>
      <c r="B26" s="59" t="inlineStr">
        <is>
          <t>ASHRAE 52.2</t>
        </is>
      </c>
      <c r="C26" s="59" t="inlineStr">
        <is>
          <t>ISO 16890</t>
        </is>
      </c>
      <c r="D26" s="59" t="inlineStr">
        <is>
          <t>EN 779:2012 (referencia)</t>
        </is>
      </c>
      <c r="E26" s="59" t="inlineStr">
        <is>
          <t>Eficiencia mínima por rango</t>
        </is>
      </c>
      <c r="F26" s="59" t="n"/>
    </row>
    <row r="27">
      <c r="A27" s="60" t="inlineStr">
        <is>
          <t>Etapa 1 (prefiltro)</t>
        </is>
      </c>
      <c r="B27" s="60" t="inlineStr">
        <is>
          <t>MERV 8</t>
        </is>
      </c>
      <c r="C27" s="60" t="inlineStr">
        <is>
          <t>ISO Coarse / ePM10 (dato típico de equivalencia)</t>
        </is>
      </c>
      <c r="D27" s="60" t="inlineStr">
        <is>
          <t>G4</t>
        </is>
      </c>
      <c r="E27" s="60" t="inlineStr">
        <is>
          <t>Fracción gruesa: polvo, fibras, insectos</t>
        </is>
      </c>
      <c r="F27" s="61" t="n"/>
    </row>
    <row r="28">
      <c r="A28" s="60" t="inlineStr">
        <is>
          <t>Etapa 2 (filtro final)</t>
        </is>
      </c>
      <c r="B28" s="60" t="inlineStr">
        <is>
          <t>MERV 13-14</t>
        </is>
      </c>
      <c r="C28" s="60" t="inlineStr">
        <is>
          <t>ePM1 50-70 %</t>
        </is>
      </c>
      <c r="D28" s="60" t="inlineStr">
        <is>
          <t>F7-F8</t>
        </is>
      </c>
      <c r="E28" s="60" t="inlineStr">
        <is>
          <t>MERV 13: E2 ≥ 90 %, E3 ≥ 90 %; MERV 14 añade E1 ≥ 75 %</t>
        </is>
      </c>
      <c r="F28" s="61" t="n"/>
    </row>
    <row r="30">
      <c r="A30" s="63" t="inlineStr">
        <is>
          <t>Fuentes: ANSI/ASHRAE 52.2-2017 (PDF) (https://www.ashrae.org/File%20Library/Technical%20Resources/COVID-19/52_2_2017_COVID-19_20200401.pdf); equivalencias MERV ↔ ePM1 confirmadas en la ficha del fabricante (Camfil Durafil ES2 (PDF) (https://cdn.lsicloud.net/pandhwhsal/documents/855080-003.pdf): MERV 13 → ePM1 60 %, MERV 14 → ePM1 70 %). Se exige informe de ensayo según la norma citada.</t>
        </is>
      </c>
    </row>
    <row r="31"/>
    <row r="32"/>
    <row r="33"/>
    <row r="34"/>
    <row r="35">
      <c r="A35" s="63" t="inlineStr">
        <is>
          <t>2.1. Justificación de la clase: MERV 13-14 garantiza E3 ≥ 90 % (polen, polvo grueso, esporas) y E2 ≥ 90 % (polvo fino), con amplio margen sobre el objetivo funcional. MERV 14 se prefiere sobre MERV 13 por la carga de polvo de la planta de hipoclorito.</t>
        </is>
      </c>
    </row>
    <row r="36"/>
    <row r="37"/>
    <row r="38"/>
    <row r="40">
      <c r="A40" s="62" t="inlineStr">
        <is>
          <t>3. Caídas de presión de diseño</t>
        </is>
      </c>
    </row>
    <row r="41">
      <c r="A41" s="64" t="inlineStr">
        <is>
          <t>Tabla 2. ΔP de la etapa final MERV 13-14 (valores congelados de la memoria de cálculo).</t>
        </is>
      </c>
    </row>
    <row r="42"/>
    <row r="43">
      <c r="A43" s="59" t="inlineStr">
        <is>
          <t>Condición</t>
        </is>
      </c>
      <c r="B43" s="59" t="inlineStr">
        <is>
          <t>Estándar de catálogo (ρ = 1.2 kg/m³)</t>
        </is>
      </c>
      <c r="C43" s="59" t="inlineStr">
        <is>
          <t>En el sitio (ρ = 0.88 kg/m³, k = 0.733)</t>
        </is>
      </c>
      <c r="D43" s="59" t="n"/>
      <c r="E43" s="59" t="n"/>
      <c r="F43" s="59" t="n"/>
    </row>
    <row r="44">
      <c r="A44" s="60" t="inlineStr">
        <is>
          <t>Filtro limpio</t>
        </is>
      </c>
      <c r="B44" s="60" t="inlineStr">
        <is>
          <t>80 Pa</t>
        </is>
      </c>
      <c r="C44" s="60" t="inlineStr">
        <is>
          <t>59 Pa</t>
        </is>
      </c>
      <c r="D44" s="61" t="n"/>
      <c r="E44" s="61" t="n"/>
      <c r="F44" s="61" t="n"/>
    </row>
    <row r="45">
      <c r="A45" s="60" t="inlineStr">
        <is>
          <t>Filtro cargado (final de diseño)</t>
        </is>
      </c>
      <c r="B45" s="60" t="inlineStr">
        <is>
          <t>210 Pa</t>
        </is>
      </c>
      <c r="C45" s="60" t="inlineStr">
        <is>
          <t>154 Pa</t>
        </is>
      </c>
      <c r="D45" s="61" t="n"/>
      <c r="E45" s="61" t="n"/>
      <c r="F45" s="61" t="n"/>
    </row>
    <row r="47">
      <c r="A47" s="63" t="inlineStr">
        <is>
          <t>3.1. El ΔP final de diseño de 210 Pa estándar es conservador frente a los límites de catálogo (Camfil: 375 Pa máx. con criterio «cambiar al duplicar ΔP inicial»; AAF: 500 Pa máx.; clase F de EN 779: 450 Pa recomendados — fuentes en Tabla 4), lo que alarga la vida útil real del elemento. El prefiltro MERV 8 aporta 50-75 Pa limpio y 250 Pa final (catálogo; Camfil 30/30 (PDF) (https://cdn.lsicloud.net/pandhwhsal/documents/406331002-SPS.pdf), consulta 2026-07-23).</t>
        </is>
      </c>
    </row>
    <row r="48"/>
    <row r="49"/>
    <row r="50"/>
    <row r="51"/>
    <row r="52"/>
    <row r="53">
      <c r="A53" s="63" t="inlineStr">
        <is>
          <t>3.2. Velocidad frontal: con un módulo 24×24 in (610×610 mm) a 3 840 m³/h resulta ≈2.87 m/s (565 fpm), ligeramente superior al punto de catálogo de 500 fpm (2.54 m/s); el ΔP real será ~13-15 % superior al tabulado (dato típico, escalado aproximadamente cuadrático), efecto parcialmente compensado por la corrección de densidad del sitio. Verificar con la curva del fabricante seleccionado.</t>
        </is>
      </c>
    </row>
    <row r="54"/>
    <row r="55"/>
    <row r="56"/>
    <row r="57"/>
    <row r="59">
      <c r="A59" s="62" t="inlineStr">
        <is>
          <t>4. Dimensiones y construcción</t>
        </is>
      </c>
    </row>
    <row r="60">
      <c r="A60" s="64" t="inlineStr">
        <is>
          <t>Tabla 3. Requisitos de construcción.</t>
        </is>
      </c>
    </row>
    <row r="61">
      <c r="A61" s="59" t="inlineStr">
        <is>
          <t>Característica</t>
        </is>
      </c>
      <c r="B61" s="59" t="inlineStr">
        <is>
          <t>Especificación</t>
        </is>
      </c>
      <c r="C61" s="59" t="n"/>
      <c r="D61" s="59" t="n"/>
      <c r="E61" s="59" t="n"/>
      <c r="F61" s="59" t="n"/>
    </row>
    <row r="62">
      <c r="A62" s="60" t="inlineStr">
        <is>
          <t>Dimensiones</t>
        </is>
      </c>
      <c r="B62" s="60" t="inlineStr">
        <is>
          <t>Módulo pleno 24×24 in (610×610 mm); profundidad según línea V-bank (292 mm dato típico)</t>
        </is>
      </c>
      <c r="C62" s="61" t="n"/>
      <c r="D62" s="61" t="n"/>
      <c r="E62" s="61" t="n"/>
      <c r="F62" s="61" t="n"/>
    </row>
    <row r="63">
      <c r="A63" s="60" t="inlineStr">
        <is>
          <t>Tipo etapa final</t>
        </is>
      </c>
      <c r="B63" s="60" t="inlineStr">
        <is>
          <t>V-bank / casete compacto de minipleat</t>
        </is>
      </c>
      <c r="C63" s="61" t="n"/>
      <c r="D63" s="61" t="n"/>
      <c r="E63" s="61" t="n"/>
      <c r="F63" s="61" t="n"/>
    </row>
    <row r="64">
      <c r="A64" s="60" t="inlineStr">
        <is>
          <t>Marco del filtro</t>
        </is>
      </c>
      <c r="B64" s="60" t="inlineStr">
        <is>
          <t>100 % plástico (ABS/poliestireno/HIPS), sin componentes metálicos; paquete sellado con poliuretano</t>
        </is>
      </c>
      <c r="C64" s="61" t="n"/>
      <c r="D64" s="61" t="n"/>
      <c r="E64" s="61" t="n"/>
      <c r="F64" s="61" t="n"/>
    </row>
    <row r="65">
      <c r="A65" s="60" t="inlineStr">
        <is>
          <t>Junta</t>
        </is>
      </c>
      <c r="B65" s="60" t="inlineStr">
        <is>
          <t>Poliuretano o EPDM continua, en cabezal</t>
        </is>
      </c>
      <c r="C65" s="61" t="n"/>
      <c r="D65" s="61" t="n"/>
      <c r="E65" s="61" t="n"/>
      <c r="F65" s="61" t="n"/>
    </row>
    <row r="66">
      <c r="A66" s="60" t="inlineStr">
        <is>
          <t>Portafiltros (holding frames)</t>
        </is>
      </c>
      <c r="B66" s="60" t="inlineStr">
        <is>
          <t>Inox 304/316 con junta continua de poliuretano; galvanizado descartado por el ambiente clorado</t>
        </is>
      </c>
      <c r="C66" s="61" t="n"/>
      <c r="D66" s="61" t="n"/>
      <c r="E66" s="61" t="n"/>
      <c r="F66" s="61" t="n"/>
    </row>
    <row r="67">
      <c r="A67" s="60" t="inlineStr">
        <is>
          <t>Fijación prefiltro</t>
        </is>
      </c>
      <c r="B67" s="60" t="inlineStr">
        <is>
          <t>Espaciador/clip frontal integrado al filtro final (configuración estándar de los candidatos)</t>
        </is>
      </c>
      <c r="C67" s="61" t="n"/>
      <c r="D67" s="61" t="n"/>
      <c r="E67" s="61" t="n"/>
      <c r="F67" s="61" t="n"/>
    </row>
    <row r="68">
      <c r="A68" s="60" t="inlineStr">
        <is>
          <t>Marco del prefiltro</t>
        </is>
      </c>
      <c r="B68" s="60" t="inlineStr">
        <is>
          <t>Cartón hidrófugo; la rejilla soporte galvanizada se acepta con inspección de corrosión programada en el primer año</t>
        </is>
      </c>
      <c r="C68" s="61" t="n"/>
      <c r="D68" s="61" t="n"/>
      <c r="E68" s="61" t="n"/>
      <c r="F68" s="61" t="n"/>
    </row>
    <row r="71">
      <c r="A71" s="62" t="inlineStr">
        <is>
          <t>5. Candidatos comerciales</t>
        </is>
      </c>
    </row>
    <row r="72">
      <c r="A72" s="64" t="inlineStr">
        <is>
          <t>Tabla 4. Filtros finales candidatos (500 fpm = 2.54 m/s; consulta 2026-07-23).</t>
        </is>
      </c>
    </row>
    <row r="73">
      <c r="A73" s="59" t="inlineStr">
        <is>
          <t>Fabricante / modelo</t>
        </is>
      </c>
      <c r="B73" s="59" t="inlineStr">
        <is>
          <t>Clase</t>
        </is>
      </c>
      <c r="C73" s="59" t="inlineStr">
        <is>
          <t>Marco</t>
        </is>
      </c>
      <c r="D73" s="59" t="inlineStr">
        <is>
          <t>ΔP inicial catálogo</t>
        </is>
      </c>
      <c r="E73" s="59" t="inlineStr">
        <is>
          <t>ΔP final máx.</t>
        </is>
      </c>
      <c r="F73" s="59" t="inlineStr">
        <is>
          <t>Fuente</t>
        </is>
      </c>
    </row>
    <row r="74">
      <c r="A74" s="60" t="inlineStr">
        <is>
          <t>Camfil Durafil ES2 (referencia de diseño)</t>
        </is>
      </c>
      <c r="B74" s="60" t="inlineStr">
        <is>
          <t>MERV 14 / ePM1 70</t>
        </is>
      </c>
      <c r="C74" s="60" t="inlineStr">
        <is>
          <t>Plástico ABS/poliestireno</t>
        </is>
      </c>
      <c r="D74" s="60" t="inlineStr">
        <is>
          <t>≤ 0.32 in c.a. ≈ 80 Pa</t>
        </is>
      </c>
      <c r="E74" s="60" t="inlineStr">
        <is>
          <t>375 Pa</t>
        </is>
      </c>
      <c r="F74" s="60" t="inlineStr">
        <is>
          <t>Ficha (PDF) (https://cdn.lsicloud.net/pandhwhsal/documents/855080-003.pdf)</t>
        </is>
      </c>
    </row>
    <row r="75">
      <c r="A75" s="60" t="inlineStr">
        <is>
          <t>AAF VariCel VXL</t>
        </is>
      </c>
      <c r="B75" s="60" t="inlineStr">
        <is>
          <t>MERV 14</t>
        </is>
      </c>
      <c r="C75" s="60" t="inlineStr">
        <is>
          <t>Plástico HIPS + ABS, sin metal</t>
        </is>
      </c>
      <c r="D75" s="60" t="inlineStr">
        <is>
          <t>≈ 100-112 Pa (dato típico, de curva)</t>
        </is>
      </c>
      <c r="E75" s="60" t="inlineStr">
        <is>
          <t>500 Pa</t>
        </is>
      </c>
      <c r="F75" s="60" t="inlineStr">
        <is>
          <t>AAF AFP-1-162 (PDF) (https://aafterms.aafintl.com/-/media/files/aaf/commercial-and-industrial/us-products/box-filters/varicel-vxl/varicel-vxl_prod_mark_sht_afp-1-162.pdf)</t>
        </is>
      </c>
    </row>
    <row r="76">
      <c r="A76" s="60" t="inlineStr">
        <is>
          <t>Freudenberg Viledon MaxiPleat MX 85</t>
        </is>
      </c>
      <c r="B76" s="60" t="inlineStr">
        <is>
          <t>F8 / ePM1 65 % (≈ MERV 14)</t>
        </is>
      </c>
      <c r="C76" s="60" t="inlineStr">
        <is>
          <t>Plástico, paquete fundido estanco</t>
        </is>
      </c>
      <c r="D76" s="60" t="inlineStr">
        <is>
          <t>135-180 Pa (familia)</t>
        </is>
      </c>
      <c r="E76" s="60" t="inlineStr">
        <is>
          <t>≈ 450 Pa (dato típico)</t>
        </is>
      </c>
      <c r="F76" s="60" t="inlineStr">
        <is>
          <t>Ficha (PDF) (https://menardifilters.se/wp-content/uploads/MaxiPleat_DS_02-CC-038-EN_low.pdf)</t>
        </is>
      </c>
    </row>
    <row r="77">
      <c r="A77" s="60" t="inlineStr">
        <is>
          <t>Koch Multi-Pleat Green13</t>
        </is>
      </c>
      <c r="B77" s="60" t="inlineStr">
        <is>
          <t>MERV 13</t>
        </is>
      </c>
      <c r="C77" s="60" t="inlineStr">
        <is>
          <t>Cartón + rejilla galvanizada</t>
        </is>
      </c>
      <c r="D77" s="60" t="inlineStr">
        <is>
          <t>≈ 75-100 Pa (dato típico plisados MERV 13)</t>
        </is>
      </c>
      <c r="E77" s="60" t="inlineStr">
        <is>
          <t>≈ 250 Pa (dato típico)</t>
        </is>
      </c>
      <c r="F77" s="60" t="inlineStr">
        <is>
          <t>Ficha (PDF) (https://www.airfilterplus.com/wp-content/uploads/2022/03/Multi-Pleat-Green-13-2021.pdf)</t>
        </is>
      </c>
    </row>
    <row r="79">
      <c r="A79" s="64" t="inlineStr">
        <is>
          <t>Tabla 5. Prefiltros candidatos y portafiltros (consulta 2026-07-23).</t>
        </is>
      </c>
    </row>
    <row r="80">
      <c r="A80" s="59" t="inlineStr">
        <is>
          <t>Ítem</t>
        </is>
      </c>
      <c r="B80" s="59" t="inlineStr">
        <is>
          <t>Candidato</t>
        </is>
      </c>
      <c r="C80" s="59" t="inlineStr">
        <is>
          <t>Dato clave</t>
        </is>
      </c>
      <c r="D80" s="59" t="inlineStr">
        <is>
          <t>Fuente</t>
        </is>
      </c>
      <c r="E80" s="59" t="n"/>
      <c r="F80" s="59" t="n"/>
    </row>
    <row r="81">
      <c r="A81" s="60" t="inlineStr">
        <is>
          <t>Prefiltro MERV 8</t>
        </is>
      </c>
      <c r="B81" s="60" t="inlineStr">
        <is>
          <t>Camfil 30/30 / Dual 9</t>
        </is>
      </c>
      <c r="C81" s="60" t="inlineStr">
        <is>
          <t>ΔP inicial ≤ 67-75 Pa @ 500 fpm</t>
        </is>
      </c>
      <c r="D81" s="60" t="inlineStr">
        <is>
          <t>Ficha (PDF) (https://cdn.lsicloud.net/pandhwhsal/documents/406331002-SPS.pdf)</t>
        </is>
      </c>
      <c r="E81" s="61" t="n"/>
      <c r="F81" s="61" t="n"/>
    </row>
    <row r="82">
      <c r="A82" s="60" t="inlineStr">
        <is>
          <t>Prefiltro MERV 8</t>
        </is>
      </c>
      <c r="B82" s="60" t="inlineStr">
        <is>
          <t>Koch Multi-Pleat XL8</t>
        </is>
      </c>
      <c r="C82" s="60" t="inlineStr">
        <is>
          <t>ΔP inicial ~50-62 Pa (dato típico, de curva)</t>
        </is>
      </c>
      <c r="D82" s="60" t="inlineStr">
        <is>
          <t>Ficha (PDF) (https://fsifiltration.com/wp-content/uploads/2020/08/Pleated-MERV8.pdf)</t>
        </is>
      </c>
      <c r="E82" s="61" t="n"/>
      <c r="F82" s="61" t="n"/>
    </row>
    <row r="83">
      <c r="A83" s="60" t="inlineStr">
        <is>
          <t>Portafiltros</t>
        </is>
      </c>
      <c r="B83" s="60" t="inlineStr">
        <is>
          <t>Camfil MagnaFrame II</t>
        </is>
      </c>
      <c r="C83" s="60" t="inlineStr">
        <is>
          <t>Galvanizado 14 ga, opción inox 304; junta PU</t>
        </is>
      </c>
      <c r="D83" s="60" t="inlineStr">
        <is>
          <t>Camfil (https://www.camfil.com/en-ca/products/housings-frames--louvers/filter-holding-frames/filter-holding-frames/magnaframe-ii-gasket-seal-_-47771)</t>
        </is>
      </c>
      <c r="E83" s="61" t="n"/>
      <c r="F83" s="61" t="n"/>
    </row>
    <row r="84">
      <c r="A84" s="60" t="inlineStr">
        <is>
          <t>Portafiltros</t>
        </is>
      </c>
      <c r="B84" s="60" t="inlineStr">
        <is>
          <t>Camfil Universal Holding Frame</t>
        </is>
      </c>
      <c r="C84" s="60" t="inlineStr">
        <is>
          <t>Disponible inox o galvanizado; junta PU continua opcional</t>
        </is>
      </c>
      <c r="D84" s="60" t="inlineStr">
        <is>
          <t>Camfil (https://www.camfil.com/en-sg/products/housings-frames--louvers/filter-holding-frames/filter-holding-frames/universal-filter-holding-frame-_-46512)</t>
        </is>
      </c>
      <c r="E84" s="61" t="n"/>
      <c r="F84" s="61" t="n"/>
    </row>
    <row r="87">
      <c r="A87" s="62" t="inlineStr">
        <is>
          <t>6. Suministro y repuestos (Colombia)</t>
        </is>
      </c>
    </row>
    <row r="88">
      <c r="A88" s="63" t="inlineStr">
        <is>
          <t>6.1. Canales identificados (consulta 2026-07-23): AAF/Flanders vía Filter Tech S.A.S. (https://filtrosdeaireacondicionado.com/) y Air Solutions Colombia (https://www.airsolutionscolombia.com/productos); Camfil vía ITECO (https://www.iteco.com.co/nuestras-marcas/) y RGD Aire (https://rgdaire.com/index.php/servicio-filtros/); reemplazos compatibles de fabricación nacional CARVEL S.A./Workclean (https://carvel.com.co/catalogo-workclean/filtros-de-aire-acondicionado-tipo-cartucho-fdcjm/).</t>
        </is>
      </c>
    </row>
    <row r="89"/>
    <row r="90"/>
    <row r="91"/>
    <row r="92"/>
    <row r="93"/>
    <row r="94"/>
    <row r="95">
      <c r="A95" s="63" t="inlineStr">
        <is>
          <t>6.2. La especificación se congela en términos MERV 13-14 / ePM1 50-70 % + 24×24 in para habilitar segunda fuente. Se incluye en la compra inicial un juego de repuestos (un prefiltro y un filtro final). Cantidades y plazos: por confirmar con proveedor.</t>
        </is>
      </c>
    </row>
    <row r="96"/>
    <row r="97"/>
    <row r="98"/>
    <row r="100">
      <c r="A100" s="62" t="inlineStr">
        <is>
          <t>7. Normas aplicables</t>
        </is>
      </c>
    </row>
    <row r="101">
      <c r="A101" s="63" t="inlineStr">
        <is>
          <t>7.1. ANSI/ASHRAE 52.2-2017 (ensayo y clasificación MERV); ISO 16890 (ePM1, exigible como informe alternativo); EN 779:2012 (referencia heredada F7/F8). El ΔP del conjunto se monitorea con el manómetro de sala (HD-INST-001) como indicación de ensuciamiento (dato típico de operación).</t>
        </is>
      </c>
    </row>
    <row r="102"/>
    <row r="103"/>
    <row r="104"/>
  </sheetData>
  <mergeCells count="53">
    <mergeCell ref="A47:F52"/>
    <mergeCell ref="B62:F62"/>
    <mergeCell ref="A19:F22"/>
    <mergeCell ref="B66:F66"/>
    <mergeCell ref="B1:B5"/>
    <mergeCell ref="A18:F18"/>
    <mergeCell ref="A71:F71"/>
    <mergeCell ref="B12:F12"/>
    <mergeCell ref="N3:O3"/>
    <mergeCell ref="A35:F38"/>
    <mergeCell ref="B11:F11"/>
    <mergeCell ref="A88:F94"/>
    <mergeCell ref="N2:O2"/>
    <mergeCell ref="E28:F28"/>
    <mergeCell ref="B67:F67"/>
    <mergeCell ref="B61:F61"/>
    <mergeCell ref="B14:F14"/>
    <mergeCell ref="A100:F100"/>
    <mergeCell ref="D83:F83"/>
    <mergeCell ref="N5:O5"/>
    <mergeCell ref="N1:O1"/>
    <mergeCell ref="B13:F13"/>
    <mergeCell ref="C2:L3"/>
    <mergeCell ref="A41:F42"/>
    <mergeCell ref="D82:F82"/>
    <mergeCell ref="C45:F45"/>
    <mergeCell ref="B10:F10"/>
    <mergeCell ref="A9:F9"/>
    <mergeCell ref="E27:F27"/>
    <mergeCell ref="A40:F40"/>
    <mergeCell ref="A53:F57"/>
    <mergeCell ref="E26:F26"/>
    <mergeCell ref="A1:A5"/>
    <mergeCell ref="C1:L1"/>
    <mergeCell ref="A59:F59"/>
    <mergeCell ref="C44:F44"/>
    <mergeCell ref="A24:F24"/>
    <mergeCell ref="B65:F65"/>
    <mergeCell ref="B68:F68"/>
    <mergeCell ref="D81:F81"/>
    <mergeCell ref="A95:F98"/>
    <mergeCell ref="B64:F64"/>
    <mergeCell ref="B15:F15"/>
    <mergeCell ref="D80:F80"/>
    <mergeCell ref="C43:F43"/>
    <mergeCell ref="D84:F84"/>
    <mergeCell ref="C4:L6"/>
    <mergeCell ref="N6:O6"/>
    <mergeCell ref="A101:F104"/>
    <mergeCell ref="B63:F63"/>
    <mergeCell ref="A30:F34"/>
    <mergeCell ref="A87:F87"/>
    <mergeCell ref="N4:O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Arboleda Genes</dc:creator>
  <dcterms:created xsi:type="dcterms:W3CDTF">2022-01-25T18:39:15Z</dcterms:created>
  <dcterms:modified xsi:type="dcterms:W3CDTF">2026-07-24T12:57:37Z</dcterms:modified>
  <cp:lastModifiedBy>JAG DESIGN</cp:lastModifiedBy>
  <cp:lastPrinted>2026-07-23T18:36:47Z</cp:lastPrinted>
</cp:coreProperties>
</file>