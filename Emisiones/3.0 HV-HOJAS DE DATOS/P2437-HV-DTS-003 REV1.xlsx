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ESPECIFICACIÓN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32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name val="Times New Roman"/>
      <b val="1"/>
      <color rgb="001F4E78"/>
      <sz val="14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color rgb="001F4E78"/>
      <sz val="12"/>
    </font>
    <font>
      <name val="Times New Roman"/>
      <i val="1"/>
      <color rgb="00404040"/>
      <sz val="10"/>
    </font>
    <font>
      <name val="Times New Roman"/>
      <b val="1"/>
      <sz val="11"/>
    </font>
    <font>
      <name val="Times New Roman"/>
      <b val="1"/>
      <color theme="1"/>
      <sz val="15"/>
    </font>
    <font>
      <name val="Times New Roman"/>
      <b val="1"/>
      <i val="1"/>
      <color theme="1"/>
      <sz val="15"/>
    </font>
    <font>
      <name val="Times New Roman"/>
      <color theme="1"/>
      <sz val="11"/>
    </font>
    <font>
      <name val="Times New Roman"/>
      <color theme="1"/>
      <sz val="15"/>
    </font>
    <font>
      <name val="Times New Roman"/>
      <b val="1"/>
      <color theme="1"/>
      <sz val="16"/>
    </font>
    <font>
      <name val="Times New Roman"/>
      <color rgb="FF00B050"/>
      <sz val="12"/>
    </font>
    <font>
      <name val="Times New Roman"/>
      <b val="1"/>
      <sz val="12"/>
    </font>
    <font>
      <name val="Times New Roman"/>
      <color theme="1"/>
      <sz val="12"/>
    </font>
    <font>
      <name val="Times New Roman"/>
      <b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28" fillId="0" borderId="1" applyAlignment="1" pivotButton="0" quotePrefix="0" xfId="1">
      <alignment horizontal="center"/>
    </xf>
    <xf numFmtId="0" fontId="25" fillId="0" borderId="2" pivotButton="0" quotePrefix="0" xfId="0"/>
    <xf numFmtId="0" fontId="25" fillId="0" borderId="4" pivotButton="0" quotePrefix="0" xfId="0"/>
    <xf numFmtId="0" fontId="28" fillId="0" borderId="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25" fillId="0" borderId="3" pivotButton="0" quotePrefix="0" xfId="0"/>
    <xf numFmtId="0" fontId="25" fillId="0" borderId="0" pivotButton="0" quotePrefix="0" xfId="0"/>
    <xf numFmtId="0" fontId="25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5" fillId="0" borderId="6" pivotButton="0" quotePrefix="0" xfId="0"/>
    <xf numFmtId="0" fontId="25" fillId="0" borderId="7" pivotButton="0" quotePrefix="0" xfId="0"/>
    <xf numFmtId="0" fontId="25" fillId="0" borderId="8" pivotButton="0" quotePrefix="0" xfId="0"/>
    <xf numFmtId="0" fontId="29" fillId="0" borderId="1" applyAlignment="1" pivotButton="0" quotePrefix="0" xfId="1">
      <alignment horizontal="center" vertical="center"/>
    </xf>
    <xf numFmtId="0" fontId="25" fillId="0" borderId="9" pivotButton="0" quotePrefix="0" xfId="0"/>
    <xf numFmtId="0" fontId="25" fillId="0" borderId="10" pivotButton="0" quotePrefix="0" xfId="0"/>
    <xf numFmtId="0" fontId="30" fillId="0" borderId="0" applyAlignment="1" pivotButton="0" quotePrefix="0" xfId="1">
      <alignment horizontal="center"/>
    </xf>
    <xf numFmtId="0" fontId="0" fillId="0" borderId="3" pivotButton="0" quotePrefix="0" xfId="0"/>
    <xf numFmtId="0" fontId="31" fillId="4" borderId="1" applyAlignment="1" pivotButton="0" quotePrefix="0" xfId="1">
      <alignment horizontal="center" vertical="center" wrapText="1"/>
    </xf>
    <xf numFmtId="0" fontId="25" fillId="0" borderId="1" applyAlignment="1" pivotButton="0" quotePrefix="0" xfId="1">
      <alignment horizontal="center" vertical="center" wrapText="1"/>
    </xf>
    <xf numFmtId="0" fontId="30" fillId="0" borderId="1" applyAlignment="1" pivotButton="0" quotePrefix="0" xfId="1">
      <alignment horizontal="center" vertical="center" wrapText="1"/>
    </xf>
    <xf numFmtId="0" fontId="30" fillId="0" borderId="0" applyAlignment="1" pivotButton="0" quotePrefix="0" xfId="1">
      <alignment horizontal="center" vertical="center" wrapText="1"/>
    </xf>
    <xf numFmtId="43" fontId="6" fillId="0" borderId="0" applyAlignment="1" pivotButton="0" quotePrefix="0" xfId="3">
      <alignment vertical="center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horizontal="left" vertical="center" wrapText="1" indent="4"/>
    </xf>
    <xf numFmtId="0" fontId="25" fillId="0" borderId="11" pivotButton="0" quotePrefix="0" xfId="0"/>
    <xf numFmtId="0" fontId="25" fillId="0" borderId="12" pivotButton="0" quotePrefix="0" xfId="0"/>
    <xf numFmtId="0" fontId="27" fillId="3" borderId="1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 wrapText="1"/>
    </xf>
    <xf numFmtId="0" fontId="18" fillId="5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left" vertical="top" wrapText="1"/>
    </xf>
    <xf numFmtId="0" fontId="0" fillId="0" borderId="13" pivotButton="0" quotePrefix="0" xfId="0"/>
    <xf numFmtId="0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44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6" t="n"/>
      <c r="N1" s="47" t="n"/>
      <c r="O1" s="45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9" t="n"/>
      <c r="Z1" s="27" t="inlineStr">
        <is>
          <t>DISEÑO DE INGENIERÍA</t>
        </is>
      </c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9" t="n"/>
      <c r="BC1" s="26" t="inlineStr">
        <is>
          <t>CODIGO:</t>
        </is>
      </c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1" t="n"/>
      <c r="BO1" s="25" t="inlineStr">
        <is>
          <t>P2437-HV-DTS-003</t>
        </is>
      </c>
      <c r="BP1" s="52" t="n"/>
      <c r="BQ1" s="52" t="n"/>
      <c r="BR1" s="52" t="n"/>
      <c r="BS1" s="52" t="n"/>
      <c r="BT1" s="52" t="n"/>
      <c r="BU1" s="52" t="n"/>
      <c r="BV1" s="52" t="n"/>
      <c r="BW1" s="52" t="n"/>
      <c r="BX1" s="52" t="n"/>
      <c r="BY1" s="52" t="n"/>
      <c r="BZ1" s="53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4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6" t="n"/>
      <c r="N2" s="54" t="n"/>
      <c r="O2" s="55" t="n"/>
      <c r="Y2" s="57" t="n"/>
      <c r="Z2" s="58" t="n"/>
      <c r="AA2" s="59" t="n"/>
      <c r="AB2" s="59" t="n"/>
      <c r="AC2" s="59" t="n"/>
      <c r="AD2" s="59" t="n"/>
      <c r="AE2" s="59" t="n"/>
      <c r="AF2" s="59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  <c r="AQ2" s="59" t="n"/>
      <c r="AR2" s="59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60" t="n"/>
      <c r="BC2" s="26" t="inlineStr">
        <is>
          <t>REVISION:</t>
        </is>
      </c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1" t="n"/>
      <c r="BO2" s="25" t="inlineStr">
        <is>
          <t>CERO (0)</t>
        </is>
      </c>
      <c r="BP2" s="52" t="n"/>
      <c r="BQ2" s="52" t="n"/>
      <c r="BR2" s="52" t="n"/>
      <c r="BS2" s="52" t="n"/>
      <c r="BT2" s="52" t="n"/>
      <c r="BU2" s="52" t="n"/>
      <c r="BV2" s="52" t="n"/>
      <c r="BW2" s="52" t="n"/>
      <c r="BX2" s="52" t="n"/>
      <c r="BY2" s="52" t="n"/>
      <c r="BZ2" s="53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4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4" t="n"/>
      <c r="O3" s="55" t="n"/>
      <c r="Y3" s="57" t="n"/>
      <c r="Z3" s="27" t="inlineStr">
        <is>
          <t>SISTEMA HVAC LABORATORIO BRINSA</t>
        </is>
      </c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9" t="n"/>
      <c r="BC3" s="26" t="inlineStr">
        <is>
          <t>FECHA:</t>
        </is>
      </c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1" t="n"/>
      <c r="BO3" s="25" t="inlineStr">
        <is>
          <t>JULIO 23 DEL 2026</t>
        </is>
      </c>
      <c r="BP3" s="52" t="n"/>
      <c r="BQ3" s="52" t="n"/>
      <c r="BR3" s="52" t="n"/>
      <c r="BS3" s="52" t="n"/>
      <c r="BT3" s="52" t="n"/>
      <c r="BU3" s="52" t="n"/>
      <c r="BV3" s="52" t="n"/>
      <c r="BW3" s="52" t="n"/>
      <c r="BX3" s="52" t="n"/>
      <c r="BY3" s="52" t="n"/>
      <c r="BZ3" s="53" t="n"/>
    </row>
    <row r="4" ht="25" customFormat="1" customHeight="1" s="2">
      <c r="A4" s="54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6" t="n"/>
      <c r="N4" s="54" t="n"/>
      <c r="O4" s="55" t="n"/>
      <c r="Y4" s="57" t="n"/>
      <c r="Z4" s="58" t="n"/>
      <c r="AA4" s="59" t="n"/>
      <c r="AB4" s="59" t="n"/>
      <c r="AC4" s="59" t="n"/>
      <c r="AD4" s="59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60" t="n"/>
      <c r="BC4" s="26" t="inlineStr">
        <is>
          <t>ELABORO:</t>
        </is>
      </c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1" t="n"/>
      <c r="BO4" s="25" t="inlineStr">
        <is>
          <t>J.ARBOLEDA</t>
        </is>
      </c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3" t="n"/>
    </row>
    <row r="5" ht="25" customFormat="1" customHeight="1" s="2">
      <c r="A5" s="61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3" t="n"/>
      <c r="N5" s="61" t="n"/>
      <c r="O5" s="62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60" t="n"/>
      <c r="Z5" s="31" t="inlineStr">
        <is>
          <t>HOJA DE DATOS Y ESPECIFICACIONES TÉCNICAS DE LAS REJILLAS DE EXFILTRACIÓN</t>
        </is>
      </c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  <c r="AY5" s="48" t="n"/>
      <c r="AZ5" s="48" t="n"/>
      <c r="BA5" s="48" t="n"/>
      <c r="BB5" s="49" t="n"/>
      <c r="BC5" s="26" t="inlineStr">
        <is>
          <t>REVISO:</t>
        </is>
      </c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1" t="n"/>
      <c r="BO5" s="25" t="inlineStr">
        <is>
          <t>F.NAVIA</t>
        </is>
      </c>
      <c r="BP5" s="52" t="n"/>
      <c r="BQ5" s="52" t="n"/>
      <c r="BR5" s="52" t="n"/>
      <c r="BS5" s="52" t="n"/>
      <c r="BT5" s="52" t="n"/>
      <c r="BU5" s="52" t="n"/>
      <c r="BV5" s="52" t="n"/>
      <c r="BW5" s="52" t="n"/>
      <c r="BX5" s="52" t="n"/>
      <c r="BY5" s="52" t="n"/>
      <c r="BZ5" s="53" t="n"/>
    </row>
    <row r="6" ht="25" customFormat="1" customHeight="1" s="2">
      <c r="A6" s="64" t="inlineStr">
        <is>
          <t>PROYECTO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6" t="n"/>
      <c r="N6" s="64" t="inlineStr">
        <is>
          <t>P2437</t>
        </is>
      </c>
      <c r="O6" s="65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1" t="n"/>
      <c r="Z6" s="58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60" t="n"/>
      <c r="BC6" s="26" t="inlineStr">
        <is>
          <t>APROBO:</t>
        </is>
      </c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1" t="n"/>
      <c r="BO6" s="25" t="inlineStr">
        <is>
          <t>H.ROSERO</t>
        </is>
      </c>
      <c r="BP6" s="52" t="n"/>
      <c r="BQ6" s="52" t="n"/>
      <c r="BR6" s="52" t="n"/>
      <c r="BS6" s="52" t="n"/>
      <c r="BT6" s="52" t="n"/>
      <c r="BU6" s="52" t="n"/>
      <c r="BV6" s="52" t="n"/>
      <c r="BW6" s="52" t="n"/>
      <c r="BX6" s="52" t="n"/>
      <c r="BY6" s="52" t="n"/>
      <c r="BZ6" s="53" t="n"/>
    </row>
    <row r="7" ht="15" customHeight="1">
      <c r="A7" s="55" t="n"/>
      <c r="B7" s="55" t="n"/>
      <c r="C7" s="55" t="n"/>
      <c r="D7" s="55" t="n"/>
      <c r="E7" s="55" t="n"/>
      <c r="F7" s="55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A8" s="55" t="n"/>
      <c r="B8" s="55" t="n"/>
      <c r="C8" s="55" t="n"/>
      <c r="D8" s="55" t="n"/>
      <c r="E8" s="55" t="n"/>
      <c r="F8" s="55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A9" s="55" t="n"/>
      <c r="B9" s="55" t="n"/>
      <c r="C9" s="55" t="n"/>
      <c r="D9" s="55" t="n"/>
      <c r="E9" s="55" t="n"/>
      <c r="F9" s="55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A10" s="55" t="n"/>
      <c r="B10" s="55" t="n"/>
      <c r="C10" s="55" t="n"/>
      <c r="D10" s="55" t="n"/>
      <c r="E10" s="55" t="n"/>
      <c r="F10" s="55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A11" s="55" t="n"/>
      <c r="B11" s="55" t="n"/>
      <c r="C11" s="55" t="n"/>
      <c r="D11" s="55" t="n"/>
      <c r="E11" s="55" t="n"/>
      <c r="F11" s="55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A12" s="55" t="n"/>
      <c r="B12" s="55" t="n"/>
      <c r="C12" s="55" t="n"/>
      <c r="D12" s="55" t="n"/>
      <c r="E12" s="55" t="n"/>
      <c r="F12" s="55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A13" s="55" t="n"/>
      <c r="B13" s="55" t="n"/>
      <c r="C13" s="55" t="n"/>
      <c r="D13" s="55" t="n"/>
      <c r="E13" s="55" t="n"/>
      <c r="F13" s="55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A14" s="55" t="n"/>
      <c r="B14" s="55" t="n"/>
      <c r="C14" s="55" t="n"/>
      <c r="D14" s="55" t="n"/>
      <c r="E14" s="55" t="n"/>
      <c r="F14" s="55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A15" s="55" t="n"/>
      <c r="B15" s="55" t="n"/>
      <c r="C15" s="55" t="n"/>
      <c r="D15" s="55" t="n"/>
      <c r="E15" s="55" t="n"/>
      <c r="F15" s="55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A16" s="55" t="n"/>
      <c r="B16" s="55" t="n"/>
      <c r="C16" s="55" t="n"/>
      <c r="D16" s="55" t="n"/>
      <c r="E16" s="55" t="n"/>
      <c r="F16" s="55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A17" s="55" t="n"/>
      <c r="B17" s="55" t="n"/>
      <c r="C17" s="55" t="n"/>
      <c r="D17" s="55" t="n"/>
      <c r="E17" s="55" t="n"/>
      <c r="F17" s="55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A18" s="55" t="n"/>
      <c r="B18" s="55" t="n"/>
      <c r="C18" s="55" t="n"/>
      <c r="D18" s="55" t="n"/>
      <c r="E18" s="55" t="n"/>
      <c r="F18" s="55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A19" s="55" t="n"/>
      <c r="B19" s="55" t="n"/>
      <c r="C19" s="55" t="n"/>
      <c r="D19" s="55" t="n"/>
      <c r="E19" s="55" t="n"/>
      <c r="F19" s="55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A20" s="55" t="n"/>
      <c r="B20" s="55" t="n"/>
      <c r="C20" s="55" t="n"/>
      <c r="D20" s="55" t="n"/>
      <c r="E20" s="55" t="n"/>
      <c r="F20" s="55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A21" s="55" t="n"/>
      <c r="B21" s="55" t="n"/>
      <c r="C21" s="55" t="n"/>
      <c r="D21" s="55" t="n"/>
      <c r="E21" s="55" t="n"/>
      <c r="F21" s="55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21" t="n"/>
      <c r="Q21" s="21" t="n"/>
      <c r="R21" s="41" t="inlineStr">
        <is>
          <t>Elaborado por:</t>
        </is>
      </c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9" t="n"/>
      <c r="AF21" s="41" t="inlineStr">
        <is>
          <t>Revisado por:</t>
        </is>
      </c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9" t="n"/>
      <c r="AT21" s="41" t="inlineStr">
        <is>
          <t>Aprobado por:</t>
        </is>
      </c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9" t="n"/>
    </row>
    <row r="22" ht="15" customHeight="1">
      <c r="A22" s="55" t="n"/>
      <c r="B22" s="55" t="n"/>
      <c r="C22" s="55" t="n"/>
      <c r="D22" s="55" t="n"/>
      <c r="E22" s="55" t="n"/>
      <c r="F22" s="55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21" t="n"/>
      <c r="Q22" s="21" t="n"/>
      <c r="R22" s="68" t="n"/>
      <c r="AE22" s="57" t="n"/>
      <c r="AF22" s="68" t="n"/>
      <c r="AS22" s="57" t="n"/>
      <c r="AT22" s="68" t="n"/>
      <c r="BG22" s="57" t="n"/>
    </row>
    <row r="23" ht="15" customHeight="1">
      <c r="A23" s="55" t="n"/>
      <c r="B23" s="55" t="n"/>
      <c r="C23" s="55" t="n"/>
      <c r="D23" s="55" t="n"/>
      <c r="E23" s="55" t="n"/>
      <c r="F23" s="55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21" t="n"/>
      <c r="Q23" s="21" t="n"/>
      <c r="R23" s="58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60" t="n"/>
      <c r="AF23" s="58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60" t="n"/>
      <c r="AT23" s="58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60" t="n"/>
    </row>
    <row r="24" ht="15" customHeight="1">
      <c r="A24" s="55" t="n"/>
      <c r="B24" s="55" t="n"/>
      <c r="C24" s="55" t="n"/>
      <c r="D24" s="55" t="n"/>
      <c r="E24" s="55" t="n"/>
      <c r="F24" s="55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21" t="n"/>
      <c r="Q24" s="21" t="n"/>
      <c r="R24" s="23" t="inlineStr">
        <is>
          <t>J.ARBOLEDA</t>
        </is>
      </c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9" t="n"/>
      <c r="AF24" s="24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9" t="n"/>
      <c r="AT24" s="24" t="n"/>
      <c r="AU24" s="48" t="n"/>
      <c r="AV24" s="48" t="n"/>
      <c r="AW24" s="48" t="n"/>
      <c r="AX24" s="48" t="n"/>
      <c r="AY24" s="48" t="n"/>
      <c r="AZ24" s="48" t="n"/>
      <c r="BA24" s="48" t="n"/>
      <c r="BB24" s="48" t="n"/>
      <c r="BC24" s="48" t="n"/>
      <c r="BD24" s="48" t="n"/>
      <c r="BE24" s="48" t="n"/>
      <c r="BF24" s="48" t="n"/>
      <c r="BG24" s="49" t="n"/>
    </row>
    <row r="25" ht="15" customHeight="1">
      <c r="A25" s="55" t="n"/>
      <c r="B25" s="55" t="n"/>
      <c r="C25" s="55" t="n"/>
      <c r="D25" s="55" t="n"/>
      <c r="E25" s="55" t="n"/>
      <c r="F25" s="55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21" t="n"/>
      <c r="Q25" s="21" t="n"/>
      <c r="R25" s="68" t="n"/>
      <c r="AE25" s="57" t="n"/>
      <c r="AF25" s="68" t="n"/>
      <c r="AS25" s="57" t="n"/>
      <c r="AT25" s="68" t="n"/>
      <c r="BG25" s="57" t="n"/>
    </row>
    <row r="26" ht="15" customHeight="1">
      <c r="A26" s="55" t="n"/>
      <c r="B26" s="55" t="n"/>
      <c r="C26" s="55" t="n"/>
      <c r="D26" s="55" t="n"/>
      <c r="E26" s="55" t="n"/>
      <c r="F26" s="55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21" t="n"/>
      <c r="Q26" s="21" t="n"/>
      <c r="R26" s="58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60" t="n"/>
      <c r="AF26" s="58" t="n"/>
      <c r="AG26" s="59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60" t="n"/>
      <c r="AT26" s="58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60" t="n"/>
    </row>
    <row r="27" ht="15" customHeight="1">
      <c r="A27" s="55" t="n"/>
      <c r="B27" s="55" t="n"/>
      <c r="C27" s="55" t="n"/>
      <c r="D27" s="55" t="n"/>
      <c r="E27" s="55" t="n"/>
      <c r="F27" s="55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21" t="n"/>
      <c r="Q27" s="21" t="n"/>
      <c r="R27" s="24">
        <f>"Fecha :"&amp;BO3</f>
        <v/>
      </c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9" t="n"/>
      <c r="AF27" s="24">
        <f>"Fecha :"&amp;CC1</f>
        <v/>
      </c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9" t="n"/>
      <c r="AT27" s="24">
        <f>"Fecha :"&amp;CC2</f>
        <v/>
      </c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8" t="n"/>
      <c r="BD27" s="48" t="n"/>
      <c r="BE27" s="48" t="n"/>
      <c r="BF27" s="48" t="n"/>
      <c r="BG27" s="49" t="n"/>
    </row>
    <row r="28" ht="15" customHeight="1">
      <c r="A28" s="55" t="n"/>
      <c r="B28" s="55" t="n"/>
      <c r="C28" s="55" t="n"/>
      <c r="D28" s="55" t="n"/>
      <c r="E28" s="55" t="n"/>
      <c r="F28" s="55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21" t="n"/>
      <c r="Q28" s="21" t="n"/>
      <c r="R28" s="68" t="n"/>
      <c r="AE28" s="57" t="n"/>
      <c r="AF28" s="68" t="n"/>
      <c r="AS28" s="57" t="n"/>
      <c r="AT28" s="68" t="n"/>
      <c r="BG28" s="57" t="n"/>
    </row>
    <row r="29" ht="15" customHeight="1">
      <c r="A29" s="55" t="n"/>
      <c r="B29" s="55" t="n"/>
      <c r="C29" s="55" t="n"/>
      <c r="D29" s="55" t="n"/>
      <c r="E29" s="55" t="n"/>
      <c r="F29" s="55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21" t="n"/>
      <c r="Q29" s="21" t="n"/>
      <c r="R29" s="58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60" t="n"/>
      <c r="AF29" s="58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60" t="n"/>
      <c r="AT29" s="58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60" t="n"/>
    </row>
    <row r="30" ht="15" customHeight="1">
      <c r="A30" s="55" t="n"/>
      <c r="B30" s="55" t="n"/>
      <c r="C30" s="55" t="n"/>
      <c r="D30" s="55" t="n"/>
      <c r="E30" s="55" t="n"/>
      <c r="F30" s="55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A31" s="55" t="n"/>
      <c r="B31" s="55" t="n"/>
      <c r="C31" s="55" t="n"/>
      <c r="D31" s="55" t="n"/>
      <c r="E31" s="55" t="n"/>
      <c r="F31" s="55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A32" s="55" t="n"/>
      <c r="B32" s="55" t="n"/>
      <c r="C32" s="55" t="n"/>
      <c r="D32" s="55" t="n"/>
      <c r="E32" s="55" t="n"/>
      <c r="F32" s="55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A33" s="55" t="n"/>
      <c r="B33" s="55" t="n"/>
      <c r="C33" s="55" t="n"/>
      <c r="D33" s="55" t="n"/>
      <c r="E33" s="55" t="n"/>
      <c r="F33" s="55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A34" s="55" t="n"/>
      <c r="B34" s="55" t="n"/>
      <c r="C34" s="55" t="n"/>
      <c r="D34" s="55" t="n"/>
      <c r="E34" s="55" t="n"/>
      <c r="F34" s="55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A35" s="55" t="n"/>
      <c r="B35" s="55" t="n"/>
      <c r="C35" s="55" t="n"/>
      <c r="D35" s="55" t="n"/>
      <c r="E35" s="55" t="n"/>
      <c r="F35" s="55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A36" s="55" t="n"/>
      <c r="B36" s="55" t="n"/>
      <c r="C36" s="55" t="n"/>
      <c r="D36" s="55" t="n"/>
      <c r="E36" s="55" t="n"/>
      <c r="F36" s="55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A37" s="55" t="n"/>
      <c r="B37" s="55" t="n"/>
      <c r="C37" s="55" t="n"/>
      <c r="D37" s="55" t="n"/>
      <c r="E37" s="55" t="n"/>
      <c r="F37" s="55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A38" s="55" t="n"/>
      <c r="B38" s="55" t="n"/>
      <c r="C38" s="55" t="n"/>
      <c r="D38" s="55" t="n"/>
      <c r="E38" s="55" t="n"/>
      <c r="F38" s="55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A39" s="55" t="n"/>
      <c r="B39" s="55" t="n"/>
      <c r="C39" s="55" t="n"/>
      <c r="D39" s="55" t="n"/>
      <c r="E39" s="55" t="n"/>
      <c r="F39" s="55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9" t="inlineStr">
        <is>
          <t>Versión</t>
        </is>
      </c>
      <c r="P39" s="48" t="n"/>
      <c r="Q39" s="48" t="n"/>
      <c r="R39" s="48" t="n"/>
      <c r="S39" s="48" t="n"/>
      <c r="T39" s="48" t="n"/>
      <c r="U39" s="49" t="n"/>
      <c r="V39" s="42" t="inlineStr">
        <is>
          <t>Autor</t>
        </is>
      </c>
      <c r="W39" s="48" t="n"/>
      <c r="X39" s="48" t="n"/>
      <c r="Y39" s="48" t="n"/>
      <c r="Z39" s="48" t="n"/>
      <c r="AA39" s="48" t="n"/>
      <c r="AB39" s="49" t="n"/>
      <c r="AC39" s="43" t="inlineStr">
        <is>
          <t>Descripción</t>
        </is>
      </c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9" t="n"/>
      <c r="AP39" s="42" t="inlineStr">
        <is>
          <t>Fecha de elaboración</t>
        </is>
      </c>
      <c r="AQ39" s="48" t="n"/>
      <c r="AR39" s="48" t="n"/>
      <c r="AS39" s="48" t="n"/>
      <c r="AT39" s="48" t="n"/>
      <c r="AU39" s="48" t="n"/>
      <c r="AV39" s="49" t="n"/>
      <c r="AW39" s="42" t="inlineStr">
        <is>
          <t>Fecha de revisión</t>
        </is>
      </c>
      <c r="AX39" s="48" t="n"/>
      <c r="AY39" s="48" t="n"/>
      <c r="AZ39" s="48" t="n"/>
      <c r="BA39" s="48" t="n"/>
      <c r="BB39" s="48" t="n"/>
      <c r="BC39" s="49" t="n"/>
      <c r="BD39" s="42" t="inlineStr">
        <is>
          <t>Revisado por</t>
        </is>
      </c>
      <c r="BE39" s="48" t="n"/>
      <c r="BF39" s="48" t="n"/>
      <c r="BG39" s="48" t="n"/>
      <c r="BH39" s="48" t="n"/>
      <c r="BI39" s="48" t="n"/>
      <c r="BJ39" s="49" t="n"/>
    </row>
    <row r="40" ht="15" customHeight="1">
      <c r="A40" s="55" t="n"/>
      <c r="B40" s="55" t="n"/>
      <c r="C40" s="55" t="n"/>
      <c r="D40" s="55" t="n"/>
      <c r="E40" s="55" t="n"/>
      <c r="F40" s="55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54" t="n"/>
      <c r="U40" s="57" t="n"/>
      <c r="V40" s="68" t="n"/>
      <c r="AB40" s="57" t="n"/>
      <c r="AC40" s="68" t="n"/>
      <c r="AO40" s="57" t="n"/>
      <c r="AP40" s="68" t="n"/>
      <c r="AV40" s="57" t="n"/>
      <c r="AW40" s="68" t="n"/>
      <c r="BC40" s="57" t="n"/>
      <c r="BD40" s="68" t="n"/>
      <c r="BJ40" s="57" t="n"/>
    </row>
    <row r="41" ht="15" customHeight="1">
      <c r="A41" s="55" t="n"/>
      <c r="B41" s="55" t="n"/>
      <c r="C41" s="55" t="n"/>
      <c r="D41" s="55" t="n"/>
      <c r="E41" s="55" t="n"/>
      <c r="F41" s="55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1" t="n"/>
      <c r="P41" s="59" t="n"/>
      <c r="Q41" s="59" t="n"/>
      <c r="R41" s="59" t="n"/>
      <c r="S41" s="59" t="n"/>
      <c r="T41" s="59" t="n"/>
      <c r="U41" s="60" t="n"/>
      <c r="V41" s="58" t="n"/>
      <c r="W41" s="59" t="n"/>
      <c r="X41" s="59" t="n"/>
      <c r="Y41" s="59" t="n"/>
      <c r="Z41" s="59" t="n"/>
      <c r="AA41" s="59" t="n"/>
      <c r="AB41" s="60" t="n"/>
      <c r="AC41" s="58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60" t="n"/>
      <c r="AP41" s="58" t="n"/>
      <c r="AQ41" s="59" t="n"/>
      <c r="AR41" s="59" t="n"/>
      <c r="AS41" s="59" t="n"/>
      <c r="AT41" s="59" t="n"/>
      <c r="AU41" s="59" t="n"/>
      <c r="AV41" s="60" t="n"/>
      <c r="AW41" s="58" t="n"/>
      <c r="AX41" s="59" t="n"/>
      <c r="AY41" s="59" t="n"/>
      <c r="AZ41" s="59" t="n"/>
      <c r="BA41" s="59" t="n"/>
      <c r="BB41" s="59" t="n"/>
      <c r="BC41" s="60" t="n"/>
      <c r="BD41" s="58" t="n"/>
      <c r="BE41" s="59" t="n"/>
      <c r="BF41" s="59" t="n"/>
      <c r="BG41" s="59" t="n"/>
      <c r="BH41" s="59" t="n"/>
      <c r="BI41" s="59" t="n"/>
      <c r="BJ41" s="60" t="n"/>
    </row>
    <row r="42" ht="15" customHeight="1">
      <c r="A42" s="55" t="n"/>
      <c r="B42" s="55" t="n"/>
      <c r="C42" s="55" t="n"/>
      <c r="D42" s="55" t="n"/>
      <c r="E42" s="55" t="n"/>
      <c r="F42" s="55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70" t="inlineStr">
        <is>
          <t>CERO (0)</t>
        </is>
      </c>
      <c r="P42" s="48" t="n"/>
      <c r="Q42" s="48" t="n"/>
      <c r="R42" s="48" t="n"/>
      <c r="S42" s="48" t="n"/>
      <c r="T42" s="48" t="n"/>
      <c r="U42" s="49" t="n"/>
      <c r="V42" s="37" t="inlineStr">
        <is>
          <t>J.ARBOLEDA</t>
        </is>
      </c>
      <c r="W42" s="48" t="n"/>
      <c r="X42" s="48" t="n"/>
      <c r="Y42" s="48" t="n"/>
      <c r="Z42" s="48" t="n"/>
      <c r="AA42" s="48" t="n"/>
      <c r="AB42" s="49" t="n"/>
      <c r="AC42" s="38" t="inlineStr">
        <is>
          <t>Emitido para cotizacion</t>
        </is>
      </c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9" t="n"/>
      <c r="AP42" s="39">
        <f>BO3</f>
        <v/>
      </c>
      <c r="AQ42" s="48" t="n"/>
      <c r="AR42" s="48" t="n"/>
      <c r="AS42" s="48" t="n"/>
      <c r="AT42" s="48" t="n"/>
      <c r="AU42" s="48" t="n"/>
      <c r="AV42" s="49" t="n"/>
      <c r="AW42" s="39">
        <f>AT27</f>
        <v/>
      </c>
      <c r="AX42" s="48" t="n"/>
      <c r="AY42" s="48" t="n"/>
      <c r="AZ42" s="48" t="n"/>
      <c r="BA42" s="48" t="n"/>
      <c r="BB42" s="48" t="n"/>
      <c r="BC42" s="49" t="n"/>
      <c r="BD42" s="40">
        <f>BO5</f>
        <v/>
      </c>
      <c r="BE42" s="48" t="n"/>
      <c r="BF42" s="48" t="n"/>
      <c r="BG42" s="48" t="n"/>
      <c r="BH42" s="48" t="n"/>
      <c r="BI42" s="48" t="n"/>
      <c r="BJ42" s="49" t="n"/>
    </row>
    <row r="43" ht="15" customHeight="1">
      <c r="A43" s="55" t="n"/>
      <c r="B43" s="55" t="n"/>
      <c r="C43" s="55" t="n"/>
      <c r="D43" s="55" t="n"/>
      <c r="E43" s="55" t="n"/>
      <c r="F43" s="55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54" t="n"/>
      <c r="U43" s="57" t="n"/>
      <c r="V43" s="68" t="n"/>
      <c r="AB43" s="57" t="n"/>
      <c r="AC43" s="68" t="n"/>
      <c r="AO43" s="57" t="n"/>
      <c r="AP43" s="68" t="n"/>
      <c r="AV43" s="57" t="n"/>
      <c r="AW43" s="68" t="n"/>
      <c r="BC43" s="57" t="n"/>
      <c r="BD43" s="68" t="n"/>
      <c r="BJ43" s="57" t="n"/>
      <c r="BP43" s="21" t="n"/>
    </row>
    <row r="44" ht="15" customHeight="1">
      <c r="A44" s="55" t="n"/>
      <c r="B44" s="55" t="n"/>
      <c r="C44" s="55" t="n"/>
      <c r="D44" s="55" t="n"/>
      <c r="E44" s="55" t="n"/>
      <c r="F44" s="55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1" t="n"/>
      <c r="P44" s="59" t="n"/>
      <c r="Q44" s="59" t="n"/>
      <c r="R44" s="59" t="n"/>
      <c r="S44" s="59" t="n"/>
      <c r="T44" s="59" t="n"/>
      <c r="U44" s="60" t="n"/>
      <c r="V44" s="58" t="n"/>
      <c r="W44" s="59" t="n"/>
      <c r="X44" s="59" t="n"/>
      <c r="Y44" s="59" t="n"/>
      <c r="Z44" s="59" t="n"/>
      <c r="AA44" s="59" t="n"/>
      <c r="AB44" s="60" t="n"/>
      <c r="AC44" s="58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60" t="n"/>
      <c r="AP44" s="58" t="n"/>
      <c r="AQ44" s="59" t="n"/>
      <c r="AR44" s="59" t="n"/>
      <c r="AS44" s="59" t="n"/>
      <c r="AT44" s="59" t="n"/>
      <c r="AU44" s="59" t="n"/>
      <c r="AV44" s="60" t="n"/>
      <c r="AW44" s="58" t="n"/>
      <c r="AX44" s="59" t="n"/>
      <c r="AY44" s="59" t="n"/>
      <c r="AZ44" s="59" t="n"/>
      <c r="BA44" s="59" t="n"/>
      <c r="BB44" s="59" t="n"/>
      <c r="BC44" s="60" t="n"/>
      <c r="BD44" s="58" t="n"/>
      <c r="BE44" s="59" t="n"/>
      <c r="BF44" s="59" t="n"/>
      <c r="BG44" s="59" t="n"/>
      <c r="BH44" s="59" t="n"/>
      <c r="BI44" s="59" t="n"/>
      <c r="BJ44" s="60" t="n"/>
    </row>
    <row r="45" ht="15" customHeight="1">
      <c r="A45" s="55" t="n"/>
      <c r="B45" s="55" t="n"/>
      <c r="C45" s="55" t="n"/>
      <c r="D45" s="55" t="n"/>
      <c r="E45" s="55" t="n"/>
      <c r="F45" s="55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71" t="n"/>
      <c r="P45" s="48" t="n"/>
      <c r="Q45" s="48" t="n"/>
      <c r="R45" s="48" t="n"/>
      <c r="S45" s="48" t="n"/>
      <c r="T45" s="48" t="n"/>
      <c r="U45" s="49" t="n"/>
      <c r="V45" s="20" t="n"/>
      <c r="W45" s="48" t="n"/>
      <c r="X45" s="48" t="n"/>
      <c r="Y45" s="48" t="n"/>
      <c r="Z45" s="48" t="n"/>
      <c r="AA45" s="48" t="n"/>
      <c r="AB45" s="49" t="n"/>
      <c r="AC45" s="22" t="n"/>
      <c r="AD45" s="48" t="n"/>
      <c r="AE45" s="48" t="n"/>
      <c r="AF45" s="48" t="n"/>
      <c r="AG45" s="48" t="n"/>
      <c r="AH45" s="48" t="n"/>
      <c r="AI45" s="48" t="n"/>
      <c r="AJ45" s="48" t="n"/>
      <c r="AK45" s="48" t="n"/>
      <c r="AL45" s="48" t="n"/>
      <c r="AM45" s="48" t="n"/>
      <c r="AN45" s="48" t="n"/>
      <c r="AO45" s="49" t="n"/>
      <c r="AP45" s="20" t="n"/>
      <c r="AQ45" s="48" t="n"/>
      <c r="AR45" s="48" t="n"/>
      <c r="AS45" s="48" t="n"/>
      <c r="AT45" s="48" t="n"/>
      <c r="AU45" s="48" t="n"/>
      <c r="AV45" s="49" t="n"/>
      <c r="AW45" s="20" t="n"/>
      <c r="AX45" s="48" t="n"/>
      <c r="AY45" s="48" t="n"/>
      <c r="AZ45" s="48" t="n"/>
      <c r="BA45" s="48" t="n"/>
      <c r="BB45" s="48" t="n"/>
      <c r="BC45" s="49" t="n"/>
      <c r="BD45" s="20" t="n"/>
      <c r="BE45" s="48" t="n"/>
      <c r="BF45" s="48" t="n"/>
      <c r="BG45" s="48" t="n"/>
      <c r="BH45" s="48" t="n"/>
      <c r="BI45" s="48" t="n"/>
      <c r="BJ45" s="49" t="n"/>
    </row>
    <row r="46" ht="15" customHeight="1">
      <c r="A46" s="55" t="n"/>
      <c r="B46" s="55" t="n"/>
      <c r="C46" s="55" t="n"/>
      <c r="D46" s="55" t="n"/>
      <c r="E46" s="55" t="n"/>
      <c r="F46" s="55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54" t="n"/>
      <c r="U46" s="57" t="n"/>
      <c r="V46" s="68" t="n"/>
      <c r="AB46" s="57" t="n"/>
      <c r="AC46" s="68" t="n"/>
      <c r="AO46" s="57" t="n"/>
      <c r="AP46" s="68" t="n"/>
      <c r="AV46" s="57" t="n"/>
      <c r="AW46" s="68" t="n"/>
      <c r="BC46" s="57" t="n"/>
      <c r="BD46" s="68" t="n"/>
      <c r="BJ46" s="57" t="n"/>
    </row>
    <row r="47" ht="15" customHeight="1">
      <c r="A47" s="55" t="n"/>
      <c r="B47" s="55" t="n"/>
      <c r="C47" s="55" t="n"/>
      <c r="D47" s="55" t="n"/>
      <c r="E47" s="55" t="n"/>
      <c r="F47" s="55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1" t="n"/>
      <c r="P47" s="59" t="n"/>
      <c r="Q47" s="59" t="n"/>
      <c r="R47" s="59" t="n"/>
      <c r="S47" s="59" t="n"/>
      <c r="T47" s="59" t="n"/>
      <c r="U47" s="60" t="n"/>
      <c r="V47" s="58" t="n"/>
      <c r="W47" s="59" t="n"/>
      <c r="X47" s="59" t="n"/>
      <c r="Y47" s="59" t="n"/>
      <c r="Z47" s="59" t="n"/>
      <c r="AA47" s="59" t="n"/>
      <c r="AB47" s="60" t="n"/>
      <c r="AC47" s="58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60" t="n"/>
      <c r="AP47" s="58" t="n"/>
      <c r="AQ47" s="59" t="n"/>
      <c r="AR47" s="59" t="n"/>
      <c r="AS47" s="59" t="n"/>
      <c r="AT47" s="59" t="n"/>
      <c r="AU47" s="59" t="n"/>
      <c r="AV47" s="60" t="n"/>
      <c r="AW47" s="58" t="n"/>
      <c r="AX47" s="59" t="n"/>
      <c r="AY47" s="59" t="n"/>
      <c r="AZ47" s="59" t="n"/>
      <c r="BA47" s="59" t="n"/>
      <c r="BB47" s="59" t="n"/>
      <c r="BC47" s="60" t="n"/>
      <c r="BD47" s="58" t="n"/>
      <c r="BE47" s="59" t="n"/>
      <c r="BF47" s="59" t="n"/>
      <c r="BG47" s="59" t="n"/>
      <c r="BH47" s="59" t="n"/>
      <c r="BI47" s="59" t="n"/>
      <c r="BJ47" s="60" t="n"/>
    </row>
    <row r="48" ht="15" customHeight="1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72" t="n"/>
      <c r="V48" s="19" t="n"/>
      <c r="AC48" s="19" t="n"/>
      <c r="AP48" s="19" t="n"/>
      <c r="AW48" s="19" t="n"/>
      <c r="BD48" s="19" t="n"/>
    </row>
    <row r="49" ht="15" customHeight="1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</row>
    <row r="50" ht="15" customHeight="1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</row>
    <row r="52" ht="15" customHeight="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</row>
    <row r="54" ht="15" customHeight="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cols>
    <col width="30.6" customWidth="1" min="1" max="1"/>
    <col width="12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7" max="57"/>
    <col width="13" customWidth="1" min="58" max="58"/>
    <col width="13" customWidth="1" min="59" max="59"/>
    <col width="13" customWidth="1" min="60" max="60"/>
    <col width="13" customWidth="1" min="62" max="62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</cols>
  <sheetData>
    <row r="1" ht="29.25" customHeight="1">
      <c r="A1" s="74" t="n"/>
      <c r="B1" s="75" t="n"/>
      <c r="C1" s="74">
        <f>PORTADA!Z1</f>
        <v/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6" t="n"/>
      <c r="M1" s="76" t="inlineStr">
        <is>
          <t>CODIGO:</t>
        </is>
      </c>
      <c r="N1" s="77">
        <f>PORTADA!BO1</f>
        <v/>
      </c>
      <c r="O1" s="66" t="n"/>
    </row>
    <row r="2" ht="29.25" customHeight="1">
      <c r="A2" s="78" t="n"/>
      <c r="B2" s="78" t="n"/>
      <c r="C2" s="74">
        <f>PORTADA!Z3</f>
        <v/>
      </c>
      <c r="D2" s="45" t="n"/>
      <c r="E2" s="45" t="n"/>
      <c r="F2" s="45" t="n"/>
      <c r="G2" s="45" t="n"/>
      <c r="H2" s="45" t="n"/>
      <c r="I2" s="45" t="n"/>
      <c r="J2" s="45" t="n"/>
      <c r="K2" s="45" t="n"/>
      <c r="L2" s="46" t="n"/>
      <c r="M2" s="76" t="inlineStr">
        <is>
          <t>REVISION:</t>
        </is>
      </c>
      <c r="N2" s="77">
        <f>PORTADA!BO2</f>
        <v/>
      </c>
      <c r="O2" s="66" t="n"/>
    </row>
    <row r="3" ht="29.25" customHeight="1">
      <c r="A3" s="78" t="n"/>
      <c r="B3" s="78" t="n"/>
      <c r="C3" s="61" t="n"/>
      <c r="D3" s="62" t="n"/>
      <c r="E3" s="62" t="n"/>
      <c r="F3" s="62" t="n"/>
      <c r="G3" s="62" t="n"/>
      <c r="H3" s="62" t="n"/>
      <c r="I3" s="62" t="n"/>
      <c r="J3" s="62" t="n"/>
      <c r="K3" s="62" t="n"/>
      <c r="L3" s="63" t="n"/>
      <c r="M3" s="76" t="inlineStr">
        <is>
          <t>FECHA:</t>
        </is>
      </c>
      <c r="N3" s="77">
        <f>PORTADA!BO3</f>
        <v/>
      </c>
      <c r="O3" s="66" t="n"/>
    </row>
    <row r="4" ht="29.25" customHeight="1">
      <c r="A4" s="78" t="n"/>
      <c r="B4" s="78" t="n"/>
      <c r="C4" s="74">
        <f>PORTADA!Z5</f>
        <v/>
      </c>
      <c r="D4" s="45" t="n"/>
      <c r="E4" s="45" t="n"/>
      <c r="F4" s="45" t="n"/>
      <c r="G4" s="45" t="n"/>
      <c r="H4" s="45" t="n"/>
      <c r="I4" s="45" t="n"/>
      <c r="J4" s="45" t="n"/>
      <c r="K4" s="45" t="n"/>
      <c r="L4" s="46" t="n"/>
      <c r="M4" s="76" t="inlineStr">
        <is>
          <t>ELABORO:</t>
        </is>
      </c>
      <c r="N4" s="77">
        <f>PORTADA!BO4</f>
        <v/>
      </c>
      <c r="O4" s="66" t="n"/>
    </row>
    <row r="5" ht="29.25" customHeight="1">
      <c r="A5" s="79" t="n"/>
      <c r="B5" s="79" t="n"/>
      <c r="C5" s="54" t="n"/>
      <c r="D5" s="55" t="n"/>
      <c r="E5" s="55" t="n"/>
      <c r="F5" s="55" t="n"/>
      <c r="G5" s="55" t="n"/>
      <c r="H5" s="55" t="n"/>
      <c r="I5" s="55" t="n"/>
      <c r="J5" s="55" t="n"/>
      <c r="K5" s="55" t="n"/>
      <c r="L5" s="56" t="n"/>
      <c r="M5" s="76" t="inlineStr">
        <is>
          <t xml:space="preserve">REVISO:      </t>
        </is>
      </c>
      <c r="N5" s="77">
        <f>PORTADA!BO5</f>
        <v/>
      </c>
      <c r="O5" s="66" t="n"/>
    </row>
    <row r="6" ht="29.25" customHeight="1">
      <c r="A6" s="76" t="inlineStr">
        <is>
          <t>PROYECTO:</t>
        </is>
      </c>
      <c r="B6" s="74">
        <f>PORTADA!N6</f>
        <v/>
      </c>
      <c r="C6" s="61" t="n"/>
      <c r="D6" s="62" t="n"/>
      <c r="E6" s="62" t="n"/>
      <c r="F6" s="62" t="n"/>
      <c r="G6" s="62" t="n"/>
      <c r="H6" s="62" t="n"/>
      <c r="I6" s="62" t="n"/>
      <c r="J6" s="62" t="n"/>
      <c r="K6" s="62" t="n"/>
      <c r="L6" s="63" t="n"/>
      <c r="M6" s="76" t="inlineStr">
        <is>
          <t>APROBO:</t>
        </is>
      </c>
      <c r="N6" s="77">
        <f>PORTADA!BO6</f>
        <v/>
      </c>
      <c r="O6" s="66" t="n"/>
    </row>
    <row r="7" ht="25" customHeight="1">
      <c r="A7" s="80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0" t="n">
        <v>7</v>
      </c>
      <c r="H7" s="80" t="n">
        <v>8</v>
      </c>
      <c r="I7" s="80" t="n">
        <v>9</v>
      </c>
      <c r="J7" s="80" t="n">
        <v>10</v>
      </c>
      <c r="K7" s="80" t="n">
        <v>11</v>
      </c>
      <c r="L7" s="80" t="n">
        <v>12</v>
      </c>
      <c r="M7" s="80" t="n">
        <v>13</v>
      </c>
      <c r="N7" s="80" t="n">
        <v>14</v>
      </c>
      <c r="O7" s="80" t="n">
        <v>15</v>
      </c>
    </row>
    <row r="9" ht="345" customHeight="1">
      <c r="A9" s="81" t="inlineStr">
        <is>
          <t>Hoja de datos: rejillas de descarga con malla anti-insectos</t>
        </is>
      </c>
    </row>
    <row r="10" ht="30" customHeight="1">
      <c r="A10" s="82" t="inlineStr">
        <is>
          <t>Campo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inlineStr">
        <is>
          <t>Valor</t>
        </is>
      </c>
      <c r="J10" s="82" t="n"/>
      <c r="K10" s="82" t="n"/>
      <c r="L10" s="82" t="n"/>
      <c r="M10" s="82" t="n"/>
      <c r="N10" s="82" t="n"/>
      <c r="O10" s="82" t="n"/>
    </row>
    <row r="11" ht="45" customHeight="1">
      <c r="A11" s="83" t="inlineStr">
        <is>
          <t>Código</t>
        </is>
      </c>
      <c r="B11" s="84" t="n"/>
      <c r="C11" s="84" t="n"/>
      <c r="D11" s="84" t="n"/>
      <c r="E11" s="84" t="n"/>
      <c r="F11" s="84" t="n"/>
      <c r="G11" s="84" t="n"/>
      <c r="H11" s="84" t="n"/>
      <c r="I11" s="83" t="inlineStr">
        <is>
          <t>HD-REJ-001</t>
        </is>
      </c>
      <c r="J11" s="84" t="n"/>
      <c r="K11" s="84" t="n"/>
      <c r="L11" s="84" t="n"/>
      <c r="M11" s="84" t="n"/>
      <c r="N11" s="84" t="n"/>
      <c r="O11" s="84" t="n"/>
    </row>
    <row r="12" ht="45" customHeight="1">
      <c r="A12" s="83" t="inlineStr">
        <is>
          <t>Revisión</t>
        </is>
      </c>
      <c r="B12" s="84" t="n"/>
      <c r="C12" s="84" t="n"/>
      <c r="D12" s="84" t="n"/>
      <c r="E12" s="84" t="n"/>
      <c r="F12" s="84" t="n"/>
      <c r="G12" s="84" t="n"/>
      <c r="H12" s="84" t="n"/>
      <c r="I12" s="83" t="inlineStr">
        <is>
          <t>1</t>
        </is>
      </c>
      <c r="J12" s="84" t="n"/>
      <c r="K12" s="84" t="n"/>
      <c r="L12" s="84" t="n"/>
      <c r="M12" s="84" t="n"/>
      <c r="N12" s="84" t="n"/>
      <c r="O12" s="84" t="n"/>
    </row>
    <row r="13" ht="45" customHeight="1">
      <c r="A13" s="83" t="inlineStr">
        <is>
          <t>Fecha</t>
        </is>
      </c>
      <c r="B13" s="84" t="n"/>
      <c r="C13" s="84" t="n"/>
      <c r="D13" s="84" t="n"/>
      <c r="E13" s="84" t="n"/>
      <c r="F13" s="84" t="n"/>
      <c r="G13" s="84" t="n"/>
      <c r="H13" s="84" t="n"/>
      <c r="I13" s="83" t="inlineStr">
        <is>
          <t>2026-07-27</t>
        </is>
      </c>
      <c r="J13" s="84" t="n"/>
      <c r="K13" s="84" t="n"/>
      <c r="L13" s="84" t="n"/>
      <c r="M13" s="84" t="n"/>
      <c r="N13" s="84" t="n"/>
      <c r="O13" s="84" t="n"/>
    </row>
    <row r="14" ht="240" customHeight="1">
      <c r="A14" s="83" t="inlineStr">
        <is>
          <t>Proyecto</t>
        </is>
      </c>
      <c r="B14" s="84" t="n"/>
      <c r="C14" s="84" t="n"/>
      <c r="D14" s="84" t="n"/>
      <c r="E14" s="84" t="n"/>
      <c r="F14" s="84" t="n"/>
      <c r="G14" s="84" t="n"/>
      <c r="H14" s="84" t="n"/>
      <c r="I14" s="83" t="inlineStr">
        <is>
          <t>P2437-HV-INF-001 — BRINSA, laboratorio de análisis industrial, Cajicá</t>
        </is>
      </c>
      <c r="J14" s="84" t="n"/>
      <c r="K14" s="84" t="n"/>
      <c r="L14" s="84" t="n"/>
      <c r="M14" s="84" t="n"/>
      <c r="N14" s="84" t="n"/>
      <c r="O14" s="84" t="n"/>
    </row>
    <row r="15" ht="150" customHeight="1">
      <c r="A15" s="83" t="inlineStr">
        <is>
          <t>Etiqueta de equipo</t>
        </is>
      </c>
      <c r="B15" s="84" t="n"/>
      <c r="C15" s="84" t="n"/>
      <c r="D15" s="84" t="n"/>
      <c r="E15" s="84" t="n"/>
      <c r="F15" s="84" t="n"/>
      <c r="G15" s="84" t="n"/>
      <c r="H15" s="84" t="n"/>
      <c r="I15" s="83" t="inlineStr">
        <is>
          <t>REJ-001 a REJ-003 (rejillas de descarga)</t>
        </is>
      </c>
      <c r="J15" s="84" t="n"/>
      <c r="K15" s="84" t="n"/>
      <c r="L15" s="84" t="n"/>
      <c r="M15" s="84" t="n"/>
      <c r="N15" s="84" t="n"/>
      <c r="O15" s="84" t="n"/>
    </row>
    <row r="16" ht="15" customHeight="1"/>
    <row r="17" ht="15" customHeight="1"/>
    <row r="18" ht="30" customHeight="1">
      <c r="A18" s="85" t="inlineStr">
        <is>
          <t>1. Servicio</t>
        </is>
      </c>
    </row>
    <row r="19" ht="165" customHeight="1">
      <c r="A19" s="86" t="inlineStr">
        <is>
          <t>1.1. Descarga libre a la atmósfera del caudal de ventilación del laboratorio, a través de la envolvente del recinto. Las rejillas son la trayectoria de salida permanente del aire y, con el sistema detenido, una vía potencial de ingreso: por ello incorporan malla anti-insectos. Ambiente exterior corrosivo (atmósfera clorada de planta de hipoclorito de calcio).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05" customHeight="1">
      <c r="A26" s="85" t="inlineStr">
        <is>
          <t>2. Condiciones de operación y desempeño</t>
        </is>
      </c>
    </row>
    <row r="27" ht="105" customHeight="1">
      <c r="A27" s="87" t="inlineStr">
        <is>
          <t>Tabla 1. Condiciones de diseño (valores congelados de la memoria de cálculo).</t>
        </is>
      </c>
    </row>
    <row r="28" ht="15" customHeight="1"/>
    <row r="29" ht="30" customHeight="1">
      <c r="A29" s="82" t="inlineStr">
        <is>
          <t>Parámetro</t>
        </is>
      </c>
      <c r="B29" s="82" t="n"/>
      <c r="C29" s="82" t="n"/>
      <c r="D29" s="82" t="n"/>
      <c r="E29" s="82" t="n"/>
      <c r="F29" s="82" t="n"/>
      <c r="G29" s="82" t="n"/>
      <c r="H29" s="82" t="n"/>
      <c r="I29" s="82" t="inlineStr">
        <is>
          <t>Valor</t>
        </is>
      </c>
      <c r="J29" s="82" t="n"/>
      <c r="K29" s="82" t="n"/>
      <c r="L29" s="82" t="n"/>
      <c r="M29" s="82" t="n"/>
      <c r="N29" s="82" t="n"/>
      <c r="O29" s="82" t="n"/>
    </row>
    <row r="30" ht="30" customHeight="1">
      <c r="A30" s="83" t="inlineStr">
        <is>
          <t>Cantidad</t>
        </is>
      </c>
      <c r="B30" s="84" t="n"/>
      <c r="C30" s="84" t="n"/>
      <c r="D30" s="84" t="n"/>
      <c r="E30" s="84" t="n"/>
      <c r="F30" s="84" t="n"/>
      <c r="G30" s="84" t="n"/>
      <c r="H30" s="84" t="n"/>
      <c r="I30" s="83" t="inlineStr">
        <is>
          <t>3 unidades</t>
        </is>
      </c>
      <c r="J30" s="84" t="n"/>
      <c r="K30" s="84" t="n"/>
      <c r="L30" s="84" t="n"/>
      <c r="M30" s="84" t="n"/>
      <c r="N30" s="84" t="n"/>
      <c r="O30" s="84" t="n"/>
    </row>
    <row r="31" ht="105" customHeight="1">
      <c r="A31" s="83" t="inlineStr">
        <is>
          <t>Dimensiones faciales (unitarias)</t>
        </is>
      </c>
      <c r="B31" s="84" t="n"/>
      <c r="C31" s="84" t="n"/>
      <c r="D31" s="84" t="n"/>
      <c r="E31" s="84" t="n"/>
      <c r="F31" s="84" t="n"/>
      <c r="G31" s="84" t="n"/>
      <c r="H31" s="84" t="n"/>
      <c r="I31" s="83" t="inlineStr">
        <is>
          <t>353×336 mm (área facial 0.1187 m²)</t>
        </is>
      </c>
      <c r="J31" s="84" t="n"/>
      <c r="K31" s="84" t="n"/>
      <c r="L31" s="84" t="n"/>
      <c r="M31" s="84" t="n"/>
      <c r="N31" s="84" t="n"/>
      <c r="O31" s="84" t="n"/>
    </row>
    <row r="32" ht="75" customHeight="1">
      <c r="A32" s="83" t="inlineStr">
        <is>
          <t>Caudal total de descarga</t>
        </is>
      </c>
      <c r="B32" s="84" t="n"/>
      <c r="C32" s="84" t="n"/>
      <c r="D32" s="84" t="n"/>
      <c r="E32" s="84" t="n"/>
      <c r="F32" s="84" t="n"/>
      <c r="G32" s="84" t="n"/>
      <c r="H32" s="84" t="n"/>
      <c r="I32" s="83" t="inlineStr">
        <is>
          <t>3 840 m³/h (1.0667 m³/s)</t>
        </is>
      </c>
      <c r="J32" s="84" t="n"/>
      <c r="K32" s="84" t="n"/>
      <c r="L32" s="84" t="n"/>
      <c r="M32" s="84" t="n"/>
      <c r="N32" s="84" t="n"/>
      <c r="O32" s="84" t="n"/>
    </row>
    <row r="33" ht="45" customHeight="1">
      <c r="A33" s="83" t="inlineStr">
        <is>
          <t>Velocidad facial</t>
        </is>
      </c>
      <c r="B33" s="84" t="n"/>
      <c r="C33" s="84" t="n"/>
      <c r="D33" s="84" t="n"/>
      <c r="E33" s="84" t="n"/>
      <c r="F33" s="84" t="n"/>
      <c r="G33" s="84" t="n"/>
      <c r="H33" s="84" t="n"/>
      <c r="I33" s="83" t="inlineStr">
        <is>
          <t>3 m/s</t>
        </is>
      </c>
      <c r="J33" s="84" t="n"/>
      <c r="K33" s="84" t="n"/>
      <c r="L33" s="84" t="n"/>
      <c r="M33" s="84" t="n"/>
      <c r="N33" s="84" t="n"/>
      <c r="O33" s="84" t="n"/>
    </row>
    <row r="34" ht="165" customHeight="1">
      <c r="A34" s="83" t="inlineStr">
        <is>
          <t>ΔP unitaria (cierre de orificio, C_d = 0.60, en el sitio)</t>
        </is>
      </c>
      <c r="B34" s="84" t="n"/>
      <c r="C34" s="84" t="n"/>
      <c r="D34" s="84" t="n"/>
      <c r="E34" s="84" t="n"/>
      <c r="F34" s="84" t="n"/>
      <c r="G34" s="84" t="n"/>
      <c r="H34" s="84" t="n"/>
      <c r="I34" s="83" t="inlineStr">
        <is>
          <t>11 Pa</t>
        </is>
      </c>
      <c r="J34" s="84" t="n"/>
      <c r="K34" s="84" t="n"/>
      <c r="L34" s="84" t="n"/>
      <c r="M34" s="84" t="n"/>
      <c r="N34" s="84" t="n"/>
      <c r="O34" s="84" t="n"/>
    </row>
    <row r="35" ht="135" customHeight="1">
      <c r="A35" s="83" t="inlineStr">
        <is>
          <t>ΔP equivalente a densidad estándar (ρ = 1.2 kg/m³)</t>
        </is>
      </c>
      <c r="B35" s="84" t="n"/>
      <c r="C35" s="84" t="n"/>
      <c r="D35" s="84" t="n"/>
      <c r="E35" s="84" t="n"/>
      <c r="F35" s="84" t="n"/>
      <c r="G35" s="84" t="n"/>
      <c r="H35" s="84" t="n"/>
      <c r="I35" s="83" t="inlineStr">
        <is>
          <t>15 Pa</t>
        </is>
      </c>
      <c r="J35" s="84" t="n"/>
      <c r="K35" s="84" t="n"/>
      <c r="L35" s="84" t="n"/>
      <c r="M35" s="84" t="n"/>
      <c r="N35" s="84" t="n"/>
      <c r="O35" s="84" t="n"/>
    </row>
    <row r="36" ht="90" customHeight="1">
      <c r="A36" s="83" t="inlineStr">
        <is>
          <t>Densidad del aire de diseño</t>
        </is>
      </c>
      <c r="B36" s="84" t="n"/>
      <c r="C36" s="84" t="n"/>
      <c r="D36" s="84" t="n"/>
      <c r="E36" s="84" t="n"/>
      <c r="F36" s="84" t="n"/>
      <c r="G36" s="84" t="n"/>
      <c r="H36" s="84" t="n"/>
      <c r="I36" s="83" t="inlineStr">
        <is>
          <t>0.88 kg/m³ (2 558 msnm, 74.1 kPa)</t>
        </is>
      </c>
      <c r="J36" s="84" t="n"/>
      <c r="K36" s="84" t="n"/>
      <c r="L36" s="84" t="n"/>
      <c r="M36" s="84" t="n"/>
      <c r="N36" s="84" t="n"/>
      <c r="O36" s="84" t="n"/>
    </row>
    <row r="37" ht="15" customHeight="1"/>
    <row r="38" ht="165" customHeight="1">
      <c r="A38" s="86" t="inlineStr">
        <is>
          <t>2.1. Nota de contexto: la ΔP unitaria de 11 Pa (cierre de orificio, C_d = 0.60, a 3 m/s) es la pérdida de descarga libre a la atmósfera y se suma a la caída de presión de la etapa filtrante para definir el punto de trabajo del ventilador; no existe consigna de presión interior que sostener.</t>
        </is>
      </c>
    </row>
    <row r="39" ht="15" customHeight="1"/>
    <row r="40" ht="15" customHeight="1"/>
    <row r="41" ht="15" customHeight="1"/>
    <row r="42" ht="15" customHeight="1"/>
    <row r="43" ht="15" customHeight="1"/>
    <row r="44" ht="90" customHeight="1">
      <c r="A44" s="85" t="inlineStr">
        <is>
          <t>3. Construcción y áreas netas</t>
        </is>
      </c>
    </row>
    <row r="45" ht="45" customHeight="1">
      <c r="A45" s="87" t="inlineStr">
        <is>
          <t>Tabla 2. Especificación constructiva.</t>
        </is>
      </c>
    </row>
    <row r="46" ht="45" customHeight="1">
      <c r="A46" s="82" t="inlineStr">
        <is>
          <t>Característica</t>
        </is>
      </c>
      <c r="B46" s="82" t="n"/>
      <c r="C46" s="82" t="n"/>
      <c r="D46" s="82" t="n"/>
      <c r="E46" s="82" t="n"/>
      <c r="F46" s="82" t="n"/>
      <c r="G46" s="82" t="n"/>
      <c r="H46" s="82" t="n"/>
      <c r="I46" s="82" t="inlineStr">
        <is>
          <t>Especificación</t>
        </is>
      </c>
      <c r="J46" s="82" t="n"/>
      <c r="K46" s="82" t="n"/>
      <c r="L46" s="82" t="n"/>
      <c r="M46" s="82" t="n"/>
      <c r="N46" s="82" t="n"/>
      <c r="O46" s="82" t="n"/>
    </row>
    <row r="47" ht="150" customHeight="1">
      <c r="A47" s="83" t="inlineStr">
        <is>
          <t>Tipo de núcleo</t>
        </is>
      </c>
      <c r="B47" s="84" t="n"/>
      <c r="C47" s="84" t="n"/>
      <c r="D47" s="84" t="n"/>
      <c r="E47" s="84" t="n"/>
      <c r="F47" s="84" t="n"/>
      <c r="G47" s="84" t="n"/>
      <c r="H47" s="84" t="n"/>
      <c r="I47" s="83" t="inlineStr">
        <is>
          <t>Eggcrate (panal) ½×½×½ in (12.7 mm), máxima área libre</t>
        </is>
      </c>
      <c r="J47" s="84" t="n"/>
      <c r="K47" s="84" t="n"/>
      <c r="L47" s="84" t="n"/>
      <c r="M47" s="84" t="n"/>
      <c r="N47" s="84" t="n"/>
      <c r="O47" s="84" t="n"/>
    </row>
    <row r="48" ht="450" customHeight="1">
      <c r="A48" s="83" t="inlineStr">
        <is>
          <t>Área libre del núcleo</t>
        </is>
      </c>
      <c r="B48" s="84" t="n"/>
      <c r="C48" s="84" t="n"/>
      <c r="D48" s="84" t="n"/>
      <c r="E48" s="84" t="n"/>
      <c r="F48" s="84" t="n"/>
      <c r="G48" s="84" t="n"/>
      <c r="H48" s="84" t="n"/>
      <c r="I48" s="83" t="inlineStr">
        <is>
          <t>≥ 90 % (cifra repetida en catálogos del tipo; Airfoil RC-FCR5 (https://airfoil.com.au/product/removable-core-fixing-clip-eggcrate-grille-rc-fcr5/), consulta 2026-07-23)</t>
        </is>
      </c>
      <c r="J48" s="84" t="n"/>
      <c r="K48" s="84" t="n"/>
      <c r="L48" s="84" t="n"/>
      <c r="M48" s="84" t="n"/>
      <c r="N48" s="84" t="n"/>
      <c r="O48" s="84" t="n"/>
    </row>
    <row r="49" ht="705" customHeight="1">
      <c r="A49" s="83" t="inlineStr">
        <is>
          <t>Malla anti-insectos</t>
        </is>
      </c>
      <c r="B49" s="84" t="n"/>
      <c r="C49" s="84" t="n"/>
      <c r="D49" s="84" t="n"/>
      <c r="E49" s="84" t="n"/>
      <c r="F49" s="84" t="n"/>
      <c r="G49" s="84" t="n"/>
      <c r="H49" s="84" t="n"/>
      <c r="I49" s="83" t="inlineStr">
        <is>
          <t>Tejido 18×18, abertura ≈1 mm, alambre 0.45 mm, área abierta ≥ 48 % (tabla Industrial Metal Mesh (https://www.industrialmetalmesh.com/sale-54819921-micron-304-316l-stainless-steel-wire-mesh-screen-filter-mesh.html), consulta 2026-07-23); excluye insectos comunes</t>
        </is>
      </c>
      <c r="J49" s="84" t="n"/>
      <c r="K49" s="84" t="n"/>
      <c r="L49" s="84" t="n"/>
      <c r="M49" s="84" t="n"/>
      <c r="N49" s="84" t="n"/>
      <c r="O49" s="84" t="n"/>
    </row>
    <row r="50" ht="135" customHeight="1">
      <c r="A50" s="83" t="inlineStr">
        <is>
          <t>Área neta combinada (núcleo + malla)</t>
        </is>
      </c>
      <c r="B50" s="84" t="n"/>
      <c r="C50" s="84" t="n"/>
      <c r="D50" s="84" t="n"/>
      <c r="E50" s="84" t="n"/>
      <c r="F50" s="84" t="n"/>
      <c r="G50" s="84" t="n"/>
      <c r="H50" s="84" t="n"/>
      <c r="I50" s="83" t="inlineStr">
        <is>
          <t>≈ 45 % del área facial (dato típico: 0.90 × 0.50)</t>
        </is>
      </c>
      <c r="J50" s="84" t="n"/>
      <c r="K50" s="84" t="n"/>
      <c r="L50" s="84" t="n"/>
      <c r="M50" s="84" t="n"/>
      <c r="N50" s="84" t="n"/>
      <c r="O50" s="84" t="n"/>
    </row>
    <row r="51" ht="195" customHeight="1">
      <c r="A51" s="83" t="inlineStr">
        <is>
          <t>Material de la rejilla</t>
        </is>
      </c>
      <c r="B51" s="84" t="n"/>
      <c r="C51" s="84" t="n"/>
      <c r="D51" s="84" t="n"/>
      <c r="E51" s="84" t="n"/>
      <c r="F51" s="84" t="n"/>
      <c r="G51" s="84" t="n"/>
      <c r="H51" s="84" t="n"/>
      <c r="I51" s="83" t="inlineStr">
        <is>
          <t>Inox 316L (primera opción) o aluminio anodizado 6063-T5 (alternativa)</t>
        </is>
      </c>
      <c r="J51" s="84" t="n"/>
      <c r="K51" s="84" t="n"/>
      <c r="L51" s="84" t="n"/>
      <c r="M51" s="84" t="n"/>
      <c r="N51" s="84" t="n"/>
      <c r="O51" s="84" t="n"/>
    </row>
    <row r="52" ht="60" customHeight="1">
      <c r="A52" s="83" t="inlineStr">
        <is>
          <t>Material de la malla</t>
        </is>
      </c>
      <c r="B52" s="84" t="n"/>
      <c r="C52" s="84" t="n"/>
      <c r="D52" s="84" t="n"/>
      <c r="E52" s="84" t="n"/>
      <c r="F52" s="84" t="n"/>
      <c r="G52" s="84" t="n"/>
      <c r="H52" s="84" t="n"/>
      <c r="I52" s="83" t="inlineStr">
        <is>
          <t>Inox 316</t>
        </is>
      </c>
      <c r="J52" s="84" t="n"/>
      <c r="K52" s="84" t="n"/>
      <c r="L52" s="84" t="n"/>
      <c r="M52" s="84" t="n"/>
      <c r="N52" s="84" t="n"/>
      <c r="O52" s="84" t="n"/>
    </row>
    <row r="53" ht="120" customHeight="1">
      <c r="A53" s="83" t="inlineStr">
        <is>
          <t>Montaje de la malla</t>
        </is>
      </c>
      <c r="B53" s="84" t="n"/>
      <c r="C53" s="84" t="n"/>
      <c r="D53" s="84" t="n"/>
      <c r="E53" s="84" t="n"/>
      <c r="F53" s="84" t="n"/>
      <c r="G53" s="84" t="n"/>
      <c r="H53" s="84" t="n"/>
      <c r="I53" s="83" t="inlineStr">
        <is>
          <t>Marco desmontable para limpieza periódica</t>
        </is>
      </c>
      <c r="J53" s="84" t="n"/>
      <c r="K53" s="84" t="n"/>
      <c r="L53" s="84" t="n"/>
      <c r="M53" s="84" t="n"/>
      <c r="N53" s="84" t="n"/>
      <c r="O53" s="84" t="n"/>
    </row>
    <row r="54" ht="270" customHeight="1">
      <c r="A54" s="83" t="inlineStr">
        <is>
          <t>Par galvánico</t>
        </is>
      </c>
      <c r="B54" s="84" t="n"/>
      <c r="C54" s="84" t="n"/>
      <c r="D54" s="84" t="n"/>
      <c r="E54" s="84" t="n"/>
      <c r="F54" s="84" t="n"/>
      <c r="G54" s="84" t="n"/>
      <c r="H54" s="84" t="n"/>
      <c r="I54" s="83" t="inlineStr">
        <is>
          <t>Si se combina marco de aluminio con malla inox, aislamiento dieléctrico (dato típico de ingeniería)</t>
        </is>
      </c>
      <c r="J54" s="84" t="n"/>
      <c r="K54" s="84" t="n"/>
      <c r="L54" s="84" t="n"/>
      <c r="M54" s="84" t="n"/>
      <c r="N54" s="84" t="n"/>
      <c r="O54" s="84" t="n"/>
    </row>
    <row r="55" ht="90" customHeight="1">
      <c r="A55" s="83" t="inlineStr">
        <is>
          <t>Ensayo de desempeño</t>
        </is>
      </c>
      <c r="B55" s="84" t="n"/>
      <c r="C55" s="84" t="n"/>
      <c r="D55" s="84" t="n"/>
      <c r="E55" s="84" t="n"/>
      <c r="F55" s="84" t="n"/>
      <c r="G55" s="84" t="n"/>
      <c r="H55" s="84" t="n"/>
      <c r="I55" s="83" t="inlineStr">
        <is>
          <t>ASHRAE 70 (medición de rejillas)</t>
        </is>
      </c>
      <c r="J55" s="84" t="n"/>
      <c r="K55" s="84" t="n"/>
      <c r="L55" s="84" t="n"/>
      <c r="M55" s="84" t="n"/>
      <c r="N55" s="84" t="n"/>
      <c r="O55" s="84" t="n"/>
    </row>
    <row r="56" ht="15" customHeight="1"/>
    <row r="57" ht="165" customHeight="1">
      <c r="A57" s="86" t="inlineStr">
        <is>
          <t>3.1. La malla domina la pérdida del conjunto; el dimensionamiento por área neta combinada y la ΔP calculada por cierre de orificio (11 Pa) deben verificarse contra el área efectiva (Ak) del fabricante seleccionado (por confirmar con proveedor).</t>
        </is>
      </c>
    </row>
    <row r="58" ht="15" customHeight="1"/>
    <row r="59" ht="15" customHeight="1"/>
    <row r="60" ht="15" customHeight="1"/>
    <row r="61" ht="15" customHeight="1"/>
    <row r="62" ht="75" customHeight="1">
      <c r="A62" s="85" t="inlineStr">
        <is>
          <t>4. Candidatos comerciales</t>
        </is>
      </c>
    </row>
    <row r="63" ht="60" customHeight="1">
      <c r="A63" s="87" t="inlineStr">
        <is>
          <t>Tabla 3. Candidatos (consulta 2026-07-23).</t>
        </is>
      </c>
    </row>
    <row r="64" ht="45" customHeight="1">
      <c r="A64" s="82" t="inlineStr">
        <is>
          <t>Producto</t>
        </is>
      </c>
      <c r="B64" s="82" t="n"/>
      <c r="C64" s="82" t="n"/>
      <c r="D64" s="82" t="inlineStr">
        <is>
          <t>Tipo / material</t>
        </is>
      </c>
      <c r="E64" s="82" t="n"/>
      <c r="F64" s="82" t="n"/>
      <c r="G64" s="82" t="inlineStr">
        <is>
          <t>Pros</t>
        </is>
      </c>
      <c r="H64" s="82" t="n"/>
      <c r="I64" s="82" t="n"/>
      <c r="J64" s="82" t="inlineStr">
        <is>
          <t>Contras</t>
        </is>
      </c>
      <c r="K64" s="82" t="n"/>
      <c r="L64" s="82" t="n"/>
      <c r="M64" s="82" t="inlineStr">
        <is>
          <t>Fuente</t>
        </is>
      </c>
      <c r="N64" s="82" t="n"/>
      <c r="O64" s="82" t="n"/>
    </row>
    <row r="65" ht="240" customHeight="1">
      <c r="A65" s="83" t="inlineStr">
        <is>
          <t>Titus 50F / 50R</t>
        </is>
      </c>
      <c r="B65" s="84" t="n"/>
      <c r="C65" s="84" t="n"/>
      <c r="D65" s="83" t="inlineStr">
        <is>
          <t>Eggcrate ½ in; aluminio, con versión íntegramente inox de fábrica</t>
        </is>
      </c>
      <c r="E65" s="84" t="n"/>
      <c r="F65" s="84" t="n"/>
      <c r="G65" s="83" t="inlineStr">
        <is>
          <t>«Highest free area of any return grille»; única opción inox de catálogo</t>
        </is>
      </c>
      <c r="H65" s="84" t="n"/>
      <c r="I65" s="84" t="n"/>
      <c r="J65" s="83" t="inlineStr">
        <is>
          <t>Importación; tamaño 353×336 por pedido</t>
        </is>
      </c>
      <c r="K65" s="84" t="n"/>
      <c r="L65" s="84" t="n"/>
      <c r="M65" s="83" t="inlineStr">
        <is>
          <t>Titus 50F (PDF) (https://www.titus-hvac.com/file/1228/50F_50Rrprod_specialized_2017.pdf)</t>
        </is>
      </c>
      <c r="N65" s="84" t="n"/>
      <c r="O65" s="84" t="n"/>
    </row>
    <row r="66" ht="255" customHeight="1">
      <c r="A66" s="83" t="inlineStr">
        <is>
          <t>Krueger EGC5</t>
        </is>
      </c>
      <c r="B66" s="84" t="n"/>
      <c r="C66" s="84" t="n"/>
      <c r="D66" s="83" t="inlineStr">
        <is>
          <t>Eggcrate ½ in; aluminio</t>
        </is>
      </c>
      <c r="E66" s="84" t="n"/>
      <c r="F66" s="84" t="n"/>
      <c r="G66" s="83" t="inlineStr">
        <is>
          <t>Amplia gama de tamaños (6×4 in a 96×96 in)</t>
        </is>
      </c>
      <c r="H66" s="84" t="n"/>
      <c r="I66" s="84" t="n"/>
      <c r="J66" s="83" t="inlineStr">
        <is>
          <t>Sin ejecución inox</t>
        </is>
      </c>
      <c r="K66" s="84" t="n"/>
      <c r="L66" s="84" t="n"/>
      <c r="M66" s="83" t="inlineStr">
        <is>
          <t>Krueger EGC5 (https://www.krueger-hvac.com/Catalog%20Home/Grilles/Grilles%20-%20Return/EGC5)</t>
        </is>
      </c>
      <c r="N66" s="84" t="n"/>
      <c r="O66" s="84" t="n"/>
    </row>
    <row r="67" ht="240" customHeight="1">
      <c r="A67" s="83" t="inlineStr">
        <is>
          <t>ProAire S.A.S (Bogotá)</t>
        </is>
      </c>
      <c r="B67" s="84" t="n"/>
      <c r="C67" s="84" t="n"/>
      <c r="D67" s="83" t="inlineStr">
        <is>
          <t>Fabricación a medida con corte láser, inox 316</t>
        </is>
      </c>
      <c r="E67" s="84" t="n"/>
      <c r="F67" s="84" t="n"/>
      <c r="G67" s="83" t="inlineStr">
        <is>
          <t>Medida exacta 353×336 y ejecución inox 316L local; vía recomendada</t>
        </is>
      </c>
      <c r="H67" s="84" t="n"/>
      <c r="I67" s="84" t="n"/>
      <c r="J67" s="83" t="inlineStr">
        <is>
          <t>Submittal y Ak por confirmar con proveedor</t>
        </is>
      </c>
      <c r="K67" s="84" t="n"/>
      <c r="L67" s="84" t="n"/>
      <c r="M67" s="83" t="inlineStr">
        <is>
          <t>proairecolombia.com (https://www.proairecolombia.com/productos/rejillas-y-difusores.html)</t>
        </is>
      </c>
      <c r="N67" s="84" t="n"/>
      <c r="O67" s="84" t="n"/>
    </row>
    <row r="68" ht="195" customHeight="1">
      <c r="A68" s="83" t="inlineStr">
        <is>
          <t>Laminaire (Colombia)</t>
        </is>
      </c>
      <c r="B68" s="84" t="n"/>
      <c r="C68" s="84" t="n"/>
      <c r="D68" s="83" t="inlineStr">
        <is>
          <t>Rejillas y difusores en aluminio a pedido</t>
        </is>
      </c>
      <c r="E68" s="84" t="n"/>
      <c r="F68" s="84" t="n"/>
      <c r="G68" s="83" t="inlineStr">
        <is>
          <t>Fabricación local con software de selección; marco para malla a pedido</t>
        </is>
      </c>
      <c r="H68" s="84" t="n"/>
      <c r="I68" s="84" t="n"/>
      <c r="J68" s="83" t="inlineStr">
        <is>
          <t>Confirmar ejecución inox</t>
        </is>
      </c>
      <c r="K68" s="84" t="n"/>
      <c r="L68" s="84" t="n"/>
      <c r="M68" s="83" t="inlineStr">
        <is>
          <t>laminaire.net (https://laminaire.net/)</t>
        </is>
      </c>
      <c r="N68" s="84" t="n"/>
      <c r="O68" s="84" t="n"/>
    </row>
    <row r="69" ht="120" customHeight="1">
      <c r="A69" s="83" t="inlineStr">
        <is>
          <t>CL Ingeniería (Bogotá)</t>
        </is>
      </c>
      <c r="B69" s="84" t="n"/>
      <c r="C69" s="84" t="n"/>
      <c r="D69" s="83" t="inlineStr">
        <is>
          <t>Rejillas y accesorios HVAC</t>
        </is>
      </c>
      <c r="E69" s="84" t="n"/>
      <c r="F69" s="84" t="n"/>
      <c r="G69" s="83" t="inlineStr">
        <is>
          <t>Canal local adicional</t>
        </is>
      </c>
      <c r="H69" s="84" t="n"/>
      <c r="I69" s="84" t="n"/>
      <c r="J69" s="83" t="inlineStr">
        <is>
          <t>Catálogo genérico</t>
        </is>
      </c>
      <c r="K69" s="84" t="n"/>
      <c r="L69" s="84" t="n"/>
      <c r="M69" s="83" t="inlineStr">
        <is>
          <t>clingenieria.co (https://clingenieria.co/)</t>
        </is>
      </c>
      <c r="N69" s="84" t="n"/>
      <c r="O69" s="84" t="n"/>
    </row>
    <row r="70" ht="15" customHeight="1"/>
    <row r="71" ht="15" customHeight="1"/>
    <row r="72" ht="45" customHeight="1">
      <c r="A72" s="85" t="inlineStr">
        <is>
          <t>5. Instalación</t>
        </is>
      </c>
    </row>
    <row r="73" ht="150" customHeight="1">
      <c r="A73" s="86" t="inlineStr">
        <is>
          <t>5.1. Montaje a ras de muro exterior con marco perimetral sellado con silicona RTV neutra (compatible con hipoclorito; Chemical Resistance of RTV Silicone Sealants (PDF) (https://irp.cdn-website.com/63168859/files/uploaded/Chemical%20Resistance%20of%20RTV%20Silicone%20Sealants%20Chart.pdf), consulta 2026-07-23) y ferretería inox 316 (A4).</t>
        </is>
      </c>
    </row>
    <row r="74" ht="15" customHeight="1"/>
    <row r="75" ht="15" customHeight="1"/>
    <row r="76" ht="15" customHeight="1"/>
    <row r="77" ht="15" customHeight="1"/>
    <row r="78" ht="15" customHeight="1"/>
    <row r="79" ht="150" customHeight="1">
      <c r="A79" s="86" t="inlineStr">
        <is>
          <t>5.2. Las bocas exteriores se orientan preferentemente a sotavento respecto de las fuentes de cloro de la planta.</t>
        </is>
      </c>
    </row>
    <row r="80" ht="15" customHeight="1"/>
    <row r="81" ht="165" customHeight="1">
      <c r="A81" s="86" t="inlineStr">
        <is>
          <t>5.3. Programa de limpieza de la malla según carga de polvo observada en comisionamiento (dato típico de operación).</t>
        </is>
      </c>
    </row>
    <row r="82" ht="15" customHeight="1"/>
    <row r="83" ht="15" customHeight="1"/>
    <row r="84" ht="60" customHeight="1">
      <c r="A84" s="85" t="inlineStr">
        <is>
          <t>6. Normas aplicables</t>
        </is>
      </c>
    </row>
    <row r="85" ht="165" customHeight="1">
      <c r="A85" s="86" t="inlineStr">
        <is>
          <t>6.1. ASHRAE 70 (método de ensayo y reporte de desempeño de rejillas); correlación de área libre para transferencia de aire según Building Science BA-0006 (https://buildingscience.com/sites/default/files/migrate/pdf/BA-0006_Discuss_transfer_grilles.pdf) (consulta 2026-07-23); ISO 12944 / NACE-AMPP para la selección de materiales en el ambiente clorado.</t>
        </is>
      </c>
    </row>
    <row r="86" ht="15" customHeight="1"/>
    <row r="87" ht="15" customHeight="1"/>
    <row r="88" ht="15" customHeight="1"/>
    <row r="89" ht="15" customHeight="1"/>
    <row r="90" ht="15" customHeight="1"/>
  </sheetData>
  <mergeCells count="104">
    <mergeCell ref="I52:O52"/>
    <mergeCell ref="A85:O90"/>
    <mergeCell ref="D66:F66"/>
    <mergeCell ref="A49:H49"/>
    <mergeCell ref="N3:O3"/>
    <mergeCell ref="A19:O24"/>
    <mergeCell ref="G65:I65"/>
    <mergeCell ref="J66:L66"/>
    <mergeCell ref="I30:O30"/>
    <mergeCell ref="A79:O80"/>
    <mergeCell ref="N5:O5"/>
    <mergeCell ref="I46:O46"/>
    <mergeCell ref="C2:L3"/>
    <mergeCell ref="A50:H50"/>
    <mergeCell ref="A55:H55"/>
    <mergeCell ref="M66:O66"/>
    <mergeCell ref="A44:O44"/>
    <mergeCell ref="I54:O54"/>
    <mergeCell ref="A32:H32"/>
    <mergeCell ref="I32:O32"/>
    <mergeCell ref="M68:O68"/>
    <mergeCell ref="A29:H29"/>
    <mergeCell ref="M67:O67"/>
    <mergeCell ref="A13:H13"/>
    <mergeCell ref="A69:C69"/>
    <mergeCell ref="A31:H31"/>
    <mergeCell ref="B1:B5"/>
    <mergeCell ref="I33:O33"/>
    <mergeCell ref="M69:O69"/>
    <mergeCell ref="A66:C66"/>
    <mergeCell ref="A15:H15"/>
    <mergeCell ref="A51:H51"/>
    <mergeCell ref="J65:L65"/>
    <mergeCell ref="A57:O60"/>
    <mergeCell ref="G69:I69"/>
    <mergeCell ref="I35:O35"/>
    <mergeCell ref="A84:O84"/>
    <mergeCell ref="I10:O10"/>
    <mergeCell ref="A18:O18"/>
    <mergeCell ref="I50:O50"/>
    <mergeCell ref="N2:O2"/>
    <mergeCell ref="G64:I64"/>
    <mergeCell ref="D68:F68"/>
    <mergeCell ref="A62:O62"/>
    <mergeCell ref="I11:O11"/>
    <mergeCell ref="D67:F67"/>
    <mergeCell ref="A72:O72"/>
    <mergeCell ref="A67:C67"/>
    <mergeCell ref="A47:H47"/>
    <mergeCell ref="I47:O47"/>
    <mergeCell ref="D69:F69"/>
    <mergeCell ref="J67:L67"/>
    <mergeCell ref="N6:O6"/>
    <mergeCell ref="J69:L69"/>
    <mergeCell ref="N4:O4"/>
    <mergeCell ref="A48:H48"/>
    <mergeCell ref="A30:H30"/>
    <mergeCell ref="G66:I66"/>
    <mergeCell ref="I51:O51"/>
    <mergeCell ref="G68:I68"/>
    <mergeCell ref="A54:H54"/>
    <mergeCell ref="I34:O34"/>
    <mergeCell ref="I49:O49"/>
    <mergeCell ref="A73:O78"/>
    <mergeCell ref="I36:O36"/>
    <mergeCell ref="A33:H33"/>
    <mergeCell ref="A1:A5"/>
    <mergeCell ref="A9:O9"/>
    <mergeCell ref="C1:L1"/>
    <mergeCell ref="A64:C64"/>
    <mergeCell ref="A53:H53"/>
    <mergeCell ref="I53:O53"/>
    <mergeCell ref="A35:H35"/>
    <mergeCell ref="A10:H10"/>
    <mergeCell ref="I12:O12"/>
    <mergeCell ref="I55:O55"/>
    <mergeCell ref="J68:L68"/>
    <mergeCell ref="A34:H34"/>
    <mergeCell ref="I14:O14"/>
    <mergeCell ref="A81:O82"/>
    <mergeCell ref="I48:O48"/>
    <mergeCell ref="I29:O29"/>
    <mergeCell ref="A36:H36"/>
    <mergeCell ref="A11:H11"/>
    <mergeCell ref="M65:O65"/>
    <mergeCell ref="M64:O64"/>
    <mergeCell ref="I13:O13"/>
    <mergeCell ref="A26:O26"/>
    <mergeCell ref="I31:O31"/>
    <mergeCell ref="I15:O15"/>
    <mergeCell ref="A46:H46"/>
    <mergeCell ref="N1:O1"/>
    <mergeCell ref="A12:H12"/>
    <mergeCell ref="D64:F64"/>
    <mergeCell ref="A68:C68"/>
    <mergeCell ref="A14:H14"/>
    <mergeCell ref="A27:O28"/>
    <mergeCell ref="J64:L64"/>
    <mergeCell ref="A38:O42"/>
    <mergeCell ref="C4:L6"/>
    <mergeCell ref="G67:I67"/>
    <mergeCell ref="D65:F65"/>
    <mergeCell ref="A52:H52"/>
    <mergeCell ref="A65:C6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2026-07-27T15:14:01Z</dcterms:modified>
  <cp:lastModifiedBy>JAG DESIGN</cp:lastModifiedBy>
  <cp:lastPrinted>2026-07-23T18:36:47Z</cp:lastPrinted>
</cp:coreProperties>
</file>