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2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i val="1"/>
      <color rgb="00404040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P2437-HV-DTS-002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HOJA DE DATOS Y ESPECIFICACIONES TÉCNICAS DEL SISTEMA DE FILTRACIÓN MERV 13-14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9">
      <c r="A9" s="58" t="inlineStr">
        <is>
          <t>Hoja de datos: etapa de filtración (prefiltro MERV 8 + filtro final MERV 13-14)</t>
        </is>
      </c>
    </row>
    <row r="10">
      <c r="A10" s="59" t="inlineStr">
        <is>
          <t>Campo</t>
        </is>
      </c>
      <c r="B10" s="59" t="n"/>
      <c r="C10" s="59" t="n"/>
      <c r="D10" s="59" t="n"/>
      <c r="E10" s="59" t="n"/>
      <c r="F10" s="59" t="n"/>
      <c r="G10" s="59" t="n"/>
      <c r="H10" s="59" t="n"/>
      <c r="I10" s="59" t="inlineStr">
        <is>
          <t>Valor</t>
        </is>
      </c>
      <c r="J10" s="59" t="n"/>
      <c r="K10" s="59" t="n"/>
      <c r="L10" s="59" t="n"/>
      <c r="M10" s="59" t="n"/>
      <c r="N10" s="59" t="n"/>
      <c r="O10" s="59" t="n"/>
    </row>
    <row r="11">
      <c r="A11" s="60" t="inlineStr">
        <is>
          <t>Código</t>
        </is>
      </c>
      <c r="B11" s="61" t="n"/>
      <c r="C11" s="61" t="n"/>
      <c r="D11" s="61" t="n"/>
      <c r="E11" s="61" t="n"/>
      <c r="F11" s="61" t="n"/>
      <c r="G11" s="61" t="n"/>
      <c r="H11" s="61" t="n"/>
      <c r="I11" s="60" t="inlineStr">
        <is>
          <t>HD-FILT-001</t>
        </is>
      </c>
      <c r="J11" s="61" t="n"/>
      <c r="K11" s="61" t="n"/>
      <c r="L11" s="61" t="n"/>
      <c r="M11" s="61" t="n"/>
      <c r="N11" s="61" t="n"/>
      <c r="O11" s="61" t="n"/>
    </row>
    <row r="12">
      <c r="A12" s="60" t="inlineStr">
        <is>
          <t>Revisión</t>
        </is>
      </c>
      <c r="B12" s="61" t="n"/>
      <c r="C12" s="61" t="n"/>
      <c r="D12" s="61" t="n"/>
      <c r="E12" s="61" t="n"/>
      <c r="F12" s="61" t="n"/>
      <c r="G12" s="61" t="n"/>
      <c r="H12" s="61" t="n"/>
      <c r="I12" s="60" t="inlineStr">
        <is>
          <t>1</t>
        </is>
      </c>
      <c r="J12" s="61" t="n"/>
      <c r="K12" s="61" t="n"/>
      <c r="L12" s="61" t="n"/>
      <c r="M12" s="61" t="n"/>
      <c r="N12" s="61" t="n"/>
      <c r="O12" s="61" t="n"/>
    </row>
    <row r="13">
      <c r="A13" s="60" t="inlineStr">
        <is>
          <t>Fecha</t>
        </is>
      </c>
      <c r="B13" s="61" t="n"/>
      <c r="C13" s="61" t="n"/>
      <c r="D13" s="61" t="n"/>
      <c r="E13" s="61" t="n"/>
      <c r="F13" s="61" t="n"/>
      <c r="G13" s="61" t="n"/>
      <c r="H13" s="61" t="n"/>
      <c r="I13" s="60" t="inlineStr">
        <is>
          <t>2026-07-27</t>
        </is>
      </c>
      <c r="J13" s="61" t="n"/>
      <c r="K13" s="61" t="n"/>
      <c r="L13" s="61" t="n"/>
      <c r="M13" s="61" t="n"/>
      <c r="N13" s="61" t="n"/>
      <c r="O13" s="61" t="n"/>
    </row>
    <row r="14">
      <c r="A14" s="60" t="inlineStr">
        <is>
          <t>Proyecto</t>
        </is>
      </c>
      <c r="B14" s="61" t="n"/>
      <c r="C14" s="61" t="n"/>
      <c r="D14" s="61" t="n"/>
      <c r="E14" s="61" t="n"/>
      <c r="F14" s="61" t="n"/>
      <c r="G14" s="61" t="n"/>
      <c r="H14" s="61" t="n"/>
      <c r="I14" s="60" t="inlineStr">
        <is>
          <t>P2437-HV-INF-001 — BRINSA, laboratorio de análisis industrial, Cajicá</t>
        </is>
      </c>
      <c r="J14" s="61" t="n"/>
      <c r="K14" s="61" t="n"/>
      <c r="L14" s="61" t="n"/>
      <c r="M14" s="61" t="n"/>
      <c r="N14" s="61" t="n"/>
      <c r="O14" s="61" t="n"/>
    </row>
    <row r="15">
      <c r="A15" s="60" t="inlineStr">
        <is>
          <t>Etiqueta de equipo</t>
        </is>
      </c>
      <c r="B15" s="61" t="n"/>
      <c r="C15" s="61" t="n"/>
      <c r="D15" s="61" t="n"/>
      <c r="E15" s="61" t="n"/>
      <c r="F15" s="61" t="n"/>
      <c r="G15" s="61" t="n"/>
      <c r="H15" s="61" t="n"/>
      <c r="I15" s="60" t="inlineStr">
        <is>
          <t>FILT-001 (banco de filtración de la impulsión)</t>
        </is>
      </c>
      <c r="J15" s="61" t="n"/>
      <c r="K15" s="61" t="n"/>
      <c r="L15" s="61" t="n"/>
      <c r="M15" s="61" t="n"/>
      <c r="N15" s="61" t="n"/>
      <c r="O15" s="61" t="n"/>
    </row>
    <row r="18">
      <c r="A18" s="62" t="inlineStr">
        <is>
          <t>1. Servicio</t>
        </is>
      </c>
    </row>
    <row r="19">
      <c r="A19" s="63" t="inlineStr">
        <is>
          <t>1.1. Filtración del aire exterior de impulsión (3 840 m³/h) para exclusión de polvo, insectos y objetos extraños, aguas arriba del laboratorio. No es un servicio de biocontención: no se requiere HEPA. Ambiente exterior corrosivo (atmósfera clorada de planta de hipoclorito de calcio, HR media 84 %).</t>
        </is>
      </c>
    </row>
    <row r="20"/>
    <row r="21"/>
    <row r="23">
      <c r="A23" s="62" t="inlineStr">
        <is>
          <t>2. Especificación de eficiencia</t>
        </is>
      </c>
    </row>
    <row r="24">
      <c r="A24" s="64" t="inlineStr">
        <is>
          <t>Tabla 1. Clases de eficiencia exigidas (consulta 2026-07-23).</t>
        </is>
      </c>
    </row>
    <row r="25">
      <c r="A25" s="59" t="inlineStr">
        <is>
          <t>Etapa</t>
        </is>
      </c>
      <c r="B25" s="59" t="n"/>
      <c r="C25" s="59" t="n"/>
      <c r="D25" s="59" t="inlineStr">
        <is>
          <t>ASHRAE 52.2</t>
        </is>
      </c>
      <c r="E25" s="59" t="n"/>
      <c r="F25" s="59" t="n"/>
      <c r="G25" s="59" t="inlineStr">
        <is>
          <t>ISO 16890</t>
        </is>
      </c>
      <c r="H25" s="59" t="n"/>
      <c r="I25" s="59" t="n"/>
      <c r="J25" s="59" t="inlineStr">
        <is>
          <t>EN 779:2012 (referencia)</t>
        </is>
      </c>
      <c r="K25" s="59" t="n"/>
      <c r="L25" s="59" t="n"/>
      <c r="M25" s="59" t="inlineStr">
        <is>
          <t>Eficiencia mínima por rango</t>
        </is>
      </c>
      <c r="N25" s="59" t="n"/>
      <c r="O25" s="59" t="n"/>
    </row>
    <row r="26">
      <c r="A26" s="60" t="inlineStr">
        <is>
          <t>Etapa 1 (prefiltro)</t>
        </is>
      </c>
      <c r="B26" s="61" t="n"/>
      <c r="C26" s="61" t="n"/>
      <c r="D26" s="60" t="inlineStr">
        <is>
          <t>MERV 8</t>
        </is>
      </c>
      <c r="E26" s="61" t="n"/>
      <c r="F26" s="61" t="n"/>
      <c r="G26" s="60" t="inlineStr">
        <is>
          <t>ISO Coarse / ePM10 (dato típico de equivalencia)</t>
        </is>
      </c>
      <c r="H26" s="61" t="n"/>
      <c r="I26" s="61" t="n"/>
      <c r="J26" s="60" t="inlineStr">
        <is>
          <t>G4</t>
        </is>
      </c>
      <c r="K26" s="61" t="n"/>
      <c r="L26" s="61" t="n"/>
      <c r="M26" s="60" t="inlineStr">
        <is>
          <t>Fracción gruesa: polvo, fibras, insectos</t>
        </is>
      </c>
      <c r="N26" s="61" t="n"/>
      <c r="O26" s="61" t="n"/>
    </row>
    <row r="27">
      <c r="A27" s="60" t="inlineStr">
        <is>
          <t>Etapa 2 (filtro final)</t>
        </is>
      </c>
      <c r="B27" s="61" t="n"/>
      <c r="C27" s="61" t="n"/>
      <c r="D27" s="60" t="inlineStr">
        <is>
          <t>MERV 13-14</t>
        </is>
      </c>
      <c r="E27" s="61" t="n"/>
      <c r="F27" s="61" t="n"/>
      <c r="G27" s="60" t="inlineStr">
        <is>
          <t>ePM1 50-70 %</t>
        </is>
      </c>
      <c r="H27" s="61" t="n"/>
      <c r="I27" s="61" t="n"/>
      <c r="J27" s="60" t="inlineStr">
        <is>
          <t>F7-F8</t>
        </is>
      </c>
      <c r="K27" s="61" t="n"/>
      <c r="L27" s="61" t="n"/>
      <c r="M27" s="60" t="inlineStr">
        <is>
          <t>MERV 13: E2 ≥ 90 %, E3 ≥ 90 %; MERV 14 añade E1 ≥ 75 %</t>
        </is>
      </c>
      <c r="N27" s="61" t="n"/>
      <c r="O27" s="61" t="n"/>
    </row>
    <row r="29">
      <c r="A29" s="65" t="inlineStr">
        <is>
          <t>Fuentes: ANSI/ASHRAE 52.2-2017 (PDF) (https://www.ashrae.org/File%20Library/Technical%20Resources/COVID-19/52_2_2017_COVID-19_20200401.pdf); equivalencias MERV ↔ ePM1 confirmadas en la ficha del fabricante (Camfil Durafil ES2 (PDF) (https://cdn.lsicloud.net/pandhwhsal/documents/855080-003.pdf): MERV 13 → ePM1 60 %, MERV 14 → ePM1 70 %). Se exige informe de ensayo según la norma citada.</t>
        </is>
      </c>
    </row>
    <row r="30"/>
    <row r="31"/>
    <row r="32"/>
    <row r="33">
      <c r="A33" s="63" t="inlineStr">
        <is>
          <t>2.1. Justificación de la clase: MERV 13-14 garantiza E3 ≥ 90 % (polen, polvo grueso, esporas) y E2 ≥ 90 % (polvo fino), con amplio margen sobre el objetivo funcional. MERV 14 se prefiere sobre MERV 13 por la carga de polvo de la planta de hipoclorito.</t>
        </is>
      </c>
    </row>
    <row r="34"/>
    <row r="35"/>
    <row r="37">
      <c r="A37" s="62" t="inlineStr">
        <is>
          <t>3. Caídas de presión de diseño</t>
        </is>
      </c>
    </row>
    <row r="38">
      <c r="A38" s="64" t="inlineStr">
        <is>
          <t>Tabla 2. ΔP de la etapa final MERV 13-14 (valores congelados de la memoria de cálculo).</t>
        </is>
      </c>
    </row>
    <row r="39">
      <c r="A39" s="59" t="inlineStr">
        <is>
          <t>Condición</t>
        </is>
      </c>
      <c r="B39" s="59" t="n"/>
      <c r="C39" s="59" t="n"/>
      <c r="D39" s="59" t="n"/>
      <c r="E39" s="59" t="n"/>
      <c r="F39" s="59" t="inlineStr">
        <is>
          <t>Estándar de catálogo (ρ = 1.2 kg/m³)</t>
        </is>
      </c>
      <c r="G39" s="59" t="n"/>
      <c r="H39" s="59" t="n"/>
      <c r="I39" s="59" t="n"/>
      <c r="J39" s="59" t="n"/>
      <c r="K39" s="59" t="inlineStr">
        <is>
          <t>En el sitio (ρ = 0.88 kg/m³, k = 0.733)</t>
        </is>
      </c>
      <c r="L39" s="59" t="n"/>
      <c r="M39" s="59" t="n"/>
      <c r="N39" s="59" t="n"/>
      <c r="O39" s="59" t="n"/>
    </row>
    <row r="40">
      <c r="A40" s="60" t="inlineStr">
        <is>
          <t>Filtro limpio</t>
        </is>
      </c>
      <c r="B40" s="61" t="n"/>
      <c r="C40" s="61" t="n"/>
      <c r="D40" s="61" t="n"/>
      <c r="E40" s="61" t="n"/>
      <c r="F40" s="60" t="inlineStr">
        <is>
          <t>80 Pa</t>
        </is>
      </c>
      <c r="G40" s="61" t="n"/>
      <c r="H40" s="61" t="n"/>
      <c r="I40" s="61" t="n"/>
      <c r="J40" s="61" t="n"/>
      <c r="K40" s="60" t="inlineStr">
        <is>
          <t>59 Pa</t>
        </is>
      </c>
      <c r="L40" s="61" t="n"/>
      <c r="M40" s="61" t="n"/>
      <c r="N40" s="61" t="n"/>
      <c r="O40" s="61" t="n"/>
    </row>
    <row r="41">
      <c r="A41" s="60" t="inlineStr">
        <is>
          <t>Filtro cargado (final de diseño)</t>
        </is>
      </c>
      <c r="B41" s="61" t="n"/>
      <c r="C41" s="61" t="n"/>
      <c r="D41" s="61" t="n"/>
      <c r="E41" s="61" t="n"/>
      <c r="F41" s="60" t="inlineStr">
        <is>
          <t>210 Pa</t>
        </is>
      </c>
      <c r="G41" s="61" t="n"/>
      <c r="H41" s="61" t="n"/>
      <c r="I41" s="61" t="n"/>
      <c r="J41" s="61" t="n"/>
      <c r="K41" s="60" t="inlineStr">
        <is>
          <t>154 Pa</t>
        </is>
      </c>
      <c r="L41" s="61" t="n"/>
      <c r="M41" s="61" t="n"/>
      <c r="N41" s="61" t="n"/>
      <c r="O41" s="61" t="n"/>
    </row>
    <row r="43">
      <c r="A43" s="63" t="inlineStr">
        <is>
          <t>3.1. El ΔP final de diseño de 210 Pa estándar es conservador frente a los límites de catálogo (Camfil: 375 Pa máx. con criterio «cambiar al duplicar ΔP inicial»; AAF: 500 Pa máx.; clase F de EN 779: 450 Pa recomendados — fuentes en Tabla 4), lo que alarga la vida útil real del elemento. El prefiltro MERV 8 aporta 50-75 Pa limpio y 250 Pa final (catálogo; Camfil 30/30 (PDF) (https://cdn.lsicloud.net/pandhwhsal/documents/406331002-SPS.pdf), consulta 2026-07-23).</t>
        </is>
      </c>
    </row>
    <row r="44"/>
    <row r="45"/>
    <row r="46"/>
    <row r="47">
      <c r="A47" s="63" t="inlineStr">
        <is>
          <t>3.2. Velocidad frontal: con un módulo 24×24 in (610×610 mm) a 3 840 m³/h resulta ≈2.87 m/s (565 fpm), ligeramente superior al punto de catálogo de 500 fpm (2.54 m/s); el ΔP real será ~13-15 % superior al tabulado (dato típico, escalado aproximadamente cuadrático), efecto parcialmente compensado por la corrección de densidad del sitio. Verificar con la curva del fabricante seleccionado.</t>
        </is>
      </c>
    </row>
    <row r="48"/>
    <row r="49"/>
    <row r="50"/>
    <row r="52">
      <c r="A52" s="62" t="inlineStr">
        <is>
          <t>4. Dimensiones y construcción</t>
        </is>
      </c>
    </row>
    <row r="53">
      <c r="A53" s="64" t="inlineStr">
        <is>
          <t>Tabla 3. Requisitos de construcción.</t>
        </is>
      </c>
    </row>
    <row r="54">
      <c r="A54" s="59" t="inlineStr">
        <is>
          <t>Característica</t>
        </is>
      </c>
      <c r="B54" s="59" t="n"/>
      <c r="C54" s="59" t="n"/>
      <c r="D54" s="59" t="n"/>
      <c r="E54" s="59" t="n"/>
      <c r="F54" s="59" t="n"/>
      <c r="G54" s="59" t="n"/>
      <c r="H54" s="59" t="n"/>
      <c r="I54" s="59" t="inlineStr">
        <is>
          <t>Especificación</t>
        </is>
      </c>
      <c r="J54" s="59" t="n"/>
      <c r="K54" s="59" t="n"/>
      <c r="L54" s="59" t="n"/>
      <c r="M54" s="59" t="n"/>
      <c r="N54" s="59" t="n"/>
      <c r="O54" s="59" t="n"/>
    </row>
    <row r="55">
      <c r="A55" s="60" t="inlineStr">
        <is>
          <t>Dimensiones</t>
        </is>
      </c>
      <c r="B55" s="61" t="n"/>
      <c r="C55" s="61" t="n"/>
      <c r="D55" s="61" t="n"/>
      <c r="E55" s="61" t="n"/>
      <c r="F55" s="61" t="n"/>
      <c r="G55" s="61" t="n"/>
      <c r="H55" s="61" t="n"/>
      <c r="I55" s="60" t="inlineStr">
        <is>
          <t>Módulo pleno 24×24 in (610×610 mm); profundidad según línea V-bank (292 mm dato típico)</t>
        </is>
      </c>
      <c r="J55" s="61" t="n"/>
      <c r="K55" s="61" t="n"/>
      <c r="L55" s="61" t="n"/>
      <c r="M55" s="61" t="n"/>
      <c r="N55" s="61" t="n"/>
      <c r="O55" s="61" t="n"/>
    </row>
    <row r="56">
      <c r="A56" s="60" t="inlineStr">
        <is>
          <t>Tipo etapa final</t>
        </is>
      </c>
      <c r="B56" s="61" t="n"/>
      <c r="C56" s="61" t="n"/>
      <c r="D56" s="61" t="n"/>
      <c r="E56" s="61" t="n"/>
      <c r="F56" s="61" t="n"/>
      <c r="G56" s="61" t="n"/>
      <c r="H56" s="61" t="n"/>
      <c r="I56" s="60" t="inlineStr">
        <is>
          <t>V-bank / casete compacto de minipleat</t>
        </is>
      </c>
      <c r="J56" s="61" t="n"/>
      <c r="K56" s="61" t="n"/>
      <c r="L56" s="61" t="n"/>
      <c r="M56" s="61" t="n"/>
      <c r="N56" s="61" t="n"/>
      <c r="O56" s="61" t="n"/>
    </row>
    <row r="57">
      <c r="A57" s="60" t="inlineStr">
        <is>
          <t>Marco del filtro</t>
        </is>
      </c>
      <c r="B57" s="61" t="n"/>
      <c r="C57" s="61" t="n"/>
      <c r="D57" s="61" t="n"/>
      <c r="E57" s="61" t="n"/>
      <c r="F57" s="61" t="n"/>
      <c r="G57" s="61" t="n"/>
      <c r="H57" s="61" t="n"/>
      <c r="I57" s="60" t="inlineStr">
        <is>
          <t>100 % plástico (ABS/poliestireno/HIPS), sin componentes metálicos; paquete sellado con poliuretano</t>
        </is>
      </c>
      <c r="J57" s="61" t="n"/>
      <c r="K57" s="61" t="n"/>
      <c r="L57" s="61" t="n"/>
      <c r="M57" s="61" t="n"/>
      <c r="N57" s="61" t="n"/>
      <c r="O57" s="61" t="n"/>
    </row>
    <row r="58">
      <c r="A58" s="60" t="inlineStr">
        <is>
          <t>Junta</t>
        </is>
      </c>
      <c r="B58" s="61" t="n"/>
      <c r="C58" s="61" t="n"/>
      <c r="D58" s="61" t="n"/>
      <c r="E58" s="61" t="n"/>
      <c r="F58" s="61" t="n"/>
      <c r="G58" s="61" t="n"/>
      <c r="H58" s="61" t="n"/>
      <c r="I58" s="60" t="inlineStr">
        <is>
          <t>Poliuretano o EPDM continua, en cabezal</t>
        </is>
      </c>
      <c r="J58" s="61" t="n"/>
      <c r="K58" s="61" t="n"/>
      <c r="L58" s="61" t="n"/>
      <c r="M58" s="61" t="n"/>
      <c r="N58" s="61" t="n"/>
      <c r="O58" s="61" t="n"/>
    </row>
    <row r="59">
      <c r="A59" s="60" t="inlineStr">
        <is>
          <t>Portafiltros (holding frames)</t>
        </is>
      </c>
      <c r="B59" s="61" t="n"/>
      <c r="C59" s="61" t="n"/>
      <c r="D59" s="61" t="n"/>
      <c r="E59" s="61" t="n"/>
      <c r="F59" s="61" t="n"/>
      <c r="G59" s="61" t="n"/>
      <c r="H59" s="61" t="n"/>
      <c r="I59" s="60" t="inlineStr">
        <is>
          <t>Inox 304/316 con junta continua de poliuretano; galvanizado descartado por el ambiente clorado</t>
        </is>
      </c>
      <c r="J59" s="61" t="n"/>
      <c r="K59" s="61" t="n"/>
      <c r="L59" s="61" t="n"/>
      <c r="M59" s="61" t="n"/>
      <c r="N59" s="61" t="n"/>
      <c r="O59" s="61" t="n"/>
    </row>
    <row r="60">
      <c r="A60" s="60" t="inlineStr">
        <is>
          <t>Fijación prefiltro</t>
        </is>
      </c>
      <c r="B60" s="61" t="n"/>
      <c r="C60" s="61" t="n"/>
      <c r="D60" s="61" t="n"/>
      <c r="E60" s="61" t="n"/>
      <c r="F60" s="61" t="n"/>
      <c r="G60" s="61" t="n"/>
      <c r="H60" s="61" t="n"/>
      <c r="I60" s="60" t="inlineStr">
        <is>
          <t>Espaciador/clip frontal integrado al filtro final (configuración estándar de los candidatos)</t>
        </is>
      </c>
      <c r="J60" s="61" t="n"/>
      <c r="K60" s="61" t="n"/>
      <c r="L60" s="61" t="n"/>
      <c r="M60" s="61" t="n"/>
      <c r="N60" s="61" t="n"/>
      <c r="O60" s="61" t="n"/>
    </row>
    <row r="61">
      <c r="A61" s="60" t="inlineStr">
        <is>
          <t>Marco del prefiltro</t>
        </is>
      </c>
      <c r="B61" s="61" t="n"/>
      <c r="C61" s="61" t="n"/>
      <c r="D61" s="61" t="n"/>
      <c r="E61" s="61" t="n"/>
      <c r="F61" s="61" t="n"/>
      <c r="G61" s="61" t="n"/>
      <c r="H61" s="61" t="n"/>
      <c r="I61" s="60" t="inlineStr">
        <is>
          <t>Cartón hidrófugo; la rejilla soporte galvanizada se acepta con inspección de corrosión programada en el primer año</t>
        </is>
      </c>
      <c r="J61" s="61" t="n"/>
      <c r="K61" s="61" t="n"/>
      <c r="L61" s="61" t="n"/>
      <c r="M61" s="61" t="n"/>
      <c r="N61" s="61" t="n"/>
      <c r="O61" s="61" t="n"/>
    </row>
    <row r="64">
      <c r="A64" s="62" t="inlineStr">
        <is>
          <t>5. Candidatos comerciales</t>
        </is>
      </c>
    </row>
    <row r="65">
      <c r="A65" s="64" t="inlineStr">
        <is>
          <t>Tabla 4. Filtros finales candidatos (500 fpm = 2.54 m/s; consulta 2026-07-23).</t>
        </is>
      </c>
    </row>
    <row r="66">
      <c r="A66" s="59" t="inlineStr">
        <is>
          <t>Fabricante / modelo</t>
        </is>
      </c>
      <c r="B66" s="59" t="n"/>
      <c r="C66" s="59" t="n"/>
      <c r="D66" s="59" t="inlineStr">
        <is>
          <t>Clase</t>
        </is>
      </c>
      <c r="E66" s="59" t="n"/>
      <c r="F66" s="59" t="n"/>
      <c r="G66" s="59" t="inlineStr">
        <is>
          <t>Marco</t>
        </is>
      </c>
      <c r="H66" s="59" t="n"/>
      <c r="I66" s="59" t="n"/>
      <c r="J66" s="59" t="inlineStr">
        <is>
          <t>ΔP inicial catálogo</t>
        </is>
      </c>
      <c r="K66" s="59" t="n"/>
      <c r="L66" s="59" t="inlineStr">
        <is>
          <t>ΔP final máx.</t>
        </is>
      </c>
      <c r="M66" s="59" t="n"/>
      <c r="N66" s="59" t="inlineStr">
        <is>
          <t>Fuente</t>
        </is>
      </c>
      <c r="O66" s="59" t="n"/>
    </row>
    <row r="67">
      <c r="A67" s="60" t="inlineStr">
        <is>
          <t>Camfil Durafil ES2 (referencia de diseño)</t>
        </is>
      </c>
      <c r="B67" s="61" t="n"/>
      <c r="C67" s="61" t="n"/>
      <c r="D67" s="60" t="inlineStr">
        <is>
          <t>MERV 14 / ePM1 70</t>
        </is>
      </c>
      <c r="E67" s="61" t="n"/>
      <c r="F67" s="61" t="n"/>
      <c r="G67" s="60" t="inlineStr">
        <is>
          <t>Plástico ABS/poliestireno</t>
        </is>
      </c>
      <c r="H67" s="61" t="n"/>
      <c r="I67" s="61" t="n"/>
      <c r="J67" s="60" t="inlineStr">
        <is>
          <t>≤ 0.32 in c.a. ≈ 80 Pa</t>
        </is>
      </c>
      <c r="K67" s="61" t="n"/>
      <c r="L67" s="60" t="inlineStr">
        <is>
          <t>375 Pa</t>
        </is>
      </c>
      <c r="M67" s="61" t="n"/>
      <c r="N67" s="60" t="inlineStr">
        <is>
          <t>Ficha (PDF) (https://cdn.lsicloud.net/pandhwhsal/documents/855080-003.pdf)</t>
        </is>
      </c>
      <c r="O67" s="61" t="n"/>
    </row>
    <row r="68">
      <c r="A68" s="60" t="inlineStr">
        <is>
          <t>AAF VariCel VXL</t>
        </is>
      </c>
      <c r="B68" s="61" t="n"/>
      <c r="C68" s="61" t="n"/>
      <c r="D68" s="60" t="inlineStr">
        <is>
          <t>MERV 14</t>
        </is>
      </c>
      <c r="E68" s="61" t="n"/>
      <c r="F68" s="61" t="n"/>
      <c r="G68" s="60" t="inlineStr">
        <is>
          <t>Plástico HIPS + ABS, sin metal</t>
        </is>
      </c>
      <c r="H68" s="61" t="n"/>
      <c r="I68" s="61" t="n"/>
      <c r="J68" s="60" t="inlineStr">
        <is>
          <t>≈ 100-112 Pa (dato típico, de curva)</t>
        </is>
      </c>
      <c r="K68" s="61" t="n"/>
      <c r="L68" s="60" t="inlineStr">
        <is>
          <t>500 Pa</t>
        </is>
      </c>
      <c r="M68" s="61" t="n"/>
      <c r="N68" s="60" t="inlineStr">
        <is>
          <t>AAF AFP-1-162 (PDF) (https://aafterms.aafintl.com/-/media/files/aaf/commercial-and-industrial/us-products/box-filters/varicel-vxl/varicel-vxl_prod_mark_sht_afp-1-162.pdf)</t>
        </is>
      </c>
      <c r="O68" s="61" t="n"/>
    </row>
    <row r="69">
      <c r="A69" s="60" t="inlineStr">
        <is>
          <t>Freudenberg Viledon MaxiPleat MX 85</t>
        </is>
      </c>
      <c r="B69" s="61" t="n"/>
      <c r="C69" s="61" t="n"/>
      <c r="D69" s="60" t="inlineStr">
        <is>
          <t>F8 / ePM1 65 % (≈ MERV 14)</t>
        </is>
      </c>
      <c r="E69" s="61" t="n"/>
      <c r="F69" s="61" t="n"/>
      <c r="G69" s="60" t="inlineStr">
        <is>
          <t>Plástico, paquete fundido estanco</t>
        </is>
      </c>
      <c r="H69" s="61" t="n"/>
      <c r="I69" s="61" t="n"/>
      <c r="J69" s="60" t="inlineStr">
        <is>
          <t>135-180 Pa (familia)</t>
        </is>
      </c>
      <c r="K69" s="61" t="n"/>
      <c r="L69" s="60" t="inlineStr">
        <is>
          <t>≈ 450 Pa (dato típico)</t>
        </is>
      </c>
      <c r="M69" s="61" t="n"/>
      <c r="N69" s="60" t="inlineStr">
        <is>
          <t>Ficha (PDF) (https://menardifilters.se/wp-content/uploads/MaxiPleat_DS_02-CC-038-EN_low.pdf)</t>
        </is>
      </c>
      <c r="O69" s="61" t="n"/>
    </row>
    <row r="70">
      <c r="A70" s="60" t="inlineStr">
        <is>
          <t>Koch Multi-Pleat Green13</t>
        </is>
      </c>
      <c r="B70" s="61" t="n"/>
      <c r="C70" s="61" t="n"/>
      <c r="D70" s="60" t="inlineStr">
        <is>
          <t>MERV 13</t>
        </is>
      </c>
      <c r="E70" s="61" t="n"/>
      <c r="F70" s="61" t="n"/>
      <c r="G70" s="60" t="inlineStr">
        <is>
          <t>Cartón + rejilla galvanizada</t>
        </is>
      </c>
      <c r="H70" s="61" t="n"/>
      <c r="I70" s="61" t="n"/>
      <c r="J70" s="60" t="inlineStr">
        <is>
          <t>≈ 75-100 Pa (dato típico plisados MERV 13)</t>
        </is>
      </c>
      <c r="K70" s="61" t="n"/>
      <c r="L70" s="60" t="inlineStr">
        <is>
          <t>≈ 250 Pa (dato típico)</t>
        </is>
      </c>
      <c r="M70" s="61" t="n"/>
      <c r="N70" s="60" t="inlineStr">
        <is>
          <t>Ficha (PDF) (https://www.airfilterplus.com/wp-content/uploads/2022/03/Multi-Pleat-Green-13-2021.pdf)</t>
        </is>
      </c>
      <c r="O70" s="61" t="n"/>
    </row>
    <row r="72">
      <c r="A72" s="64" t="inlineStr">
        <is>
          <t>Tabla 5. Prefiltros candidatos y portafiltros (consulta 2026-07-23).</t>
        </is>
      </c>
    </row>
    <row r="73">
      <c r="A73" s="59" t="inlineStr">
        <is>
          <t>Ítem</t>
        </is>
      </c>
      <c r="B73" s="59" t="n"/>
      <c r="C73" s="59" t="n"/>
      <c r="D73" s="59" t="n"/>
      <c r="E73" s="59" t="inlineStr">
        <is>
          <t>Candidato</t>
        </is>
      </c>
      <c r="F73" s="59" t="n"/>
      <c r="G73" s="59" t="n"/>
      <c r="H73" s="59" t="n"/>
      <c r="I73" s="59" t="inlineStr">
        <is>
          <t>Dato clave</t>
        </is>
      </c>
      <c r="J73" s="59" t="n"/>
      <c r="K73" s="59" t="n"/>
      <c r="L73" s="59" t="n"/>
      <c r="M73" s="59" t="inlineStr">
        <is>
          <t>Fuente</t>
        </is>
      </c>
      <c r="N73" s="59" t="n"/>
      <c r="O73" s="59" t="n"/>
    </row>
    <row r="74">
      <c r="A74" s="60" t="inlineStr">
        <is>
          <t>Prefiltro MERV 8</t>
        </is>
      </c>
      <c r="B74" s="61" t="n"/>
      <c r="C74" s="61" t="n"/>
      <c r="D74" s="61" t="n"/>
      <c r="E74" s="60" t="inlineStr">
        <is>
          <t>Camfil 30/30 / Dual 9</t>
        </is>
      </c>
      <c r="F74" s="61" t="n"/>
      <c r="G74" s="61" t="n"/>
      <c r="H74" s="61" t="n"/>
      <c r="I74" s="60" t="inlineStr">
        <is>
          <t>ΔP inicial ≤ 67-75 Pa @ 500 fpm</t>
        </is>
      </c>
      <c r="J74" s="61" t="n"/>
      <c r="K74" s="61" t="n"/>
      <c r="L74" s="61" t="n"/>
      <c r="M74" s="60" t="inlineStr">
        <is>
          <t>Ficha (PDF) (https://cdn.lsicloud.net/pandhwhsal/documents/406331002-SPS.pdf)</t>
        </is>
      </c>
      <c r="N74" s="61" t="n"/>
      <c r="O74" s="61" t="n"/>
    </row>
    <row r="75">
      <c r="A75" s="60" t="inlineStr">
        <is>
          <t>Prefiltro MERV 8</t>
        </is>
      </c>
      <c r="B75" s="61" t="n"/>
      <c r="C75" s="61" t="n"/>
      <c r="D75" s="61" t="n"/>
      <c r="E75" s="60" t="inlineStr">
        <is>
          <t>Koch Multi-Pleat XL8</t>
        </is>
      </c>
      <c r="F75" s="61" t="n"/>
      <c r="G75" s="61" t="n"/>
      <c r="H75" s="61" t="n"/>
      <c r="I75" s="60" t="inlineStr">
        <is>
          <t>ΔP inicial ~50-62 Pa (dato típico, de curva)</t>
        </is>
      </c>
      <c r="J75" s="61" t="n"/>
      <c r="K75" s="61" t="n"/>
      <c r="L75" s="61" t="n"/>
      <c r="M75" s="60" t="inlineStr">
        <is>
          <t>Ficha (PDF) (https://fsifiltration.com/wp-content/uploads/2020/08/Pleated-MERV8.pdf)</t>
        </is>
      </c>
      <c r="N75" s="61" t="n"/>
      <c r="O75" s="61" t="n"/>
    </row>
    <row r="76">
      <c r="A76" s="60" t="inlineStr">
        <is>
          <t>Portafiltros</t>
        </is>
      </c>
      <c r="B76" s="61" t="n"/>
      <c r="C76" s="61" t="n"/>
      <c r="D76" s="61" t="n"/>
      <c r="E76" s="60" t="inlineStr">
        <is>
          <t>Camfil MagnaFrame II</t>
        </is>
      </c>
      <c r="F76" s="61" t="n"/>
      <c r="G76" s="61" t="n"/>
      <c r="H76" s="61" t="n"/>
      <c r="I76" s="60" t="inlineStr">
        <is>
          <t>Galvanizado 14 ga, opción inox 304; junta PU</t>
        </is>
      </c>
      <c r="J76" s="61" t="n"/>
      <c r="K76" s="61" t="n"/>
      <c r="L76" s="61" t="n"/>
      <c r="M76" s="60" t="inlineStr">
        <is>
          <t>Camfil (https://www.camfil.com/en-ca/products/housings-frames--louvers/filter-holding-frames/filter-holding-frames/magnaframe-ii-gasket-seal-_-47771)</t>
        </is>
      </c>
      <c r="N76" s="61" t="n"/>
      <c r="O76" s="61" t="n"/>
    </row>
    <row r="77">
      <c r="A77" s="60" t="inlineStr">
        <is>
          <t>Portafiltros</t>
        </is>
      </c>
      <c r="B77" s="61" t="n"/>
      <c r="C77" s="61" t="n"/>
      <c r="D77" s="61" t="n"/>
      <c r="E77" s="60" t="inlineStr">
        <is>
          <t>Camfil Universal Holding Frame</t>
        </is>
      </c>
      <c r="F77" s="61" t="n"/>
      <c r="G77" s="61" t="n"/>
      <c r="H77" s="61" t="n"/>
      <c r="I77" s="60" t="inlineStr">
        <is>
          <t>Disponible inox o galvanizado; junta PU continua opcional</t>
        </is>
      </c>
      <c r="J77" s="61" t="n"/>
      <c r="K77" s="61" t="n"/>
      <c r="L77" s="61" t="n"/>
      <c r="M77" s="60" t="inlineStr">
        <is>
          <t>Camfil (https://www.camfil.com/en-sg/products/housings-frames--louvers/filter-holding-frames/filter-holding-frames/universal-filter-holding-frame-_-46512)</t>
        </is>
      </c>
      <c r="N77" s="61" t="n"/>
      <c r="O77" s="61" t="n"/>
    </row>
    <row r="80">
      <c r="A80" s="62" t="inlineStr">
        <is>
          <t>6. Suministro y repuestos (Colombia)</t>
        </is>
      </c>
    </row>
    <row r="81">
      <c r="A81" s="63" t="inlineStr">
        <is>
          <t>6.1. Canales identificados (consulta 2026-07-23): AAF/Flanders vía Filter Tech S.A.S. (https://filtrosdeaireacondicionado.com/) y Air Solutions Colombia (https://www.airsolutionscolombia.com/productos); Camfil vía ITECO (https://www.iteco.com.co/nuestras-marcas/) y RGD Aire (https://rgdaire.com/index.php/servicio-filtros/); reemplazos compatibles de fabricación nacional CARVEL S.A./Workclean (https://carvel.com.co/catalogo-workclean/filtros-de-aire-acondicionado-tipo-cartucho-fdcjm/).</t>
        </is>
      </c>
    </row>
    <row r="82"/>
    <row r="83"/>
    <row r="84"/>
    <row r="85"/>
    <row r="86">
      <c r="A86" s="63" t="inlineStr">
        <is>
          <t>6.2. La especificación se congela en términos MERV 13-14 / ePM1 50-70 % + 24×24 in para habilitar segunda fuente. Se incluye en la compra inicial un juego de repuestos (un prefiltro y un filtro final). Cantidades y plazos: por confirmar con proveedor.</t>
        </is>
      </c>
    </row>
    <row r="87"/>
    <row r="88"/>
    <row r="90">
      <c r="A90" s="62" t="inlineStr">
        <is>
          <t>7. Normas aplicables</t>
        </is>
      </c>
    </row>
    <row r="91">
      <c r="A91" s="63" t="inlineStr">
        <is>
          <t>7.1. ANSI/ASHRAE 52.2-2017 (ensayo y clasificación MERV); ISO 16890 (ePM1, exigible como informe alternativo); EN 779:2012 (referencia heredada F7/F8). El estado de carga del filtro se sigue por programa de mantenimiento basado en la ΔP esperada (59 Pa limpio / 154 Pa cargado en el sitio) y en la carga de polvo observada en operación (dato típico de operación).</t>
        </is>
      </c>
    </row>
    <row r="92"/>
    <row r="93"/>
    <row r="94"/>
  </sheetData>
  <mergeCells count="129">
    <mergeCell ref="A39:E39"/>
    <mergeCell ref="J27:L27"/>
    <mergeCell ref="D66:F66"/>
    <mergeCell ref="L66:M66"/>
    <mergeCell ref="N66:O66"/>
    <mergeCell ref="A26:C26"/>
    <mergeCell ref="J25:L25"/>
    <mergeCell ref="J68:K68"/>
    <mergeCell ref="N3:O3"/>
    <mergeCell ref="L68:M68"/>
    <mergeCell ref="N68:O68"/>
    <mergeCell ref="G26:I26"/>
    <mergeCell ref="K41:O41"/>
    <mergeCell ref="A73:D73"/>
    <mergeCell ref="N5:O5"/>
    <mergeCell ref="C2:L3"/>
    <mergeCell ref="M76:O76"/>
    <mergeCell ref="A55:H55"/>
    <mergeCell ref="I61:O61"/>
    <mergeCell ref="E73:H73"/>
    <mergeCell ref="I57:O57"/>
    <mergeCell ref="I76:L76"/>
    <mergeCell ref="I54:O54"/>
    <mergeCell ref="F39:J39"/>
    <mergeCell ref="I56:O56"/>
    <mergeCell ref="E74:H74"/>
    <mergeCell ref="A13:H13"/>
    <mergeCell ref="A69:C69"/>
    <mergeCell ref="B1:B5"/>
    <mergeCell ref="A58:H58"/>
    <mergeCell ref="A66:C66"/>
    <mergeCell ref="D27:F27"/>
    <mergeCell ref="A15:H15"/>
    <mergeCell ref="A91:O94"/>
    <mergeCell ref="A60:H60"/>
    <mergeCell ref="G69:I69"/>
    <mergeCell ref="M75:O75"/>
    <mergeCell ref="J26:L26"/>
    <mergeCell ref="I10:O10"/>
    <mergeCell ref="A18:O18"/>
    <mergeCell ref="E75:H75"/>
    <mergeCell ref="I59:O59"/>
    <mergeCell ref="I60:O60"/>
    <mergeCell ref="N2:O2"/>
    <mergeCell ref="I77:L77"/>
    <mergeCell ref="M26:O26"/>
    <mergeCell ref="F41:J41"/>
    <mergeCell ref="D68:F68"/>
    <mergeCell ref="D25:F25"/>
    <mergeCell ref="K40:O40"/>
    <mergeCell ref="I11:O11"/>
    <mergeCell ref="D67:F67"/>
    <mergeCell ref="N67:O67"/>
    <mergeCell ref="A67:C67"/>
    <mergeCell ref="D69:F69"/>
    <mergeCell ref="L69:M69"/>
    <mergeCell ref="N69:O69"/>
    <mergeCell ref="G27:I27"/>
    <mergeCell ref="A64:O64"/>
    <mergeCell ref="A74:D74"/>
    <mergeCell ref="N6:O6"/>
    <mergeCell ref="A40:E40"/>
    <mergeCell ref="A76:D76"/>
    <mergeCell ref="L70:M70"/>
    <mergeCell ref="N4:O4"/>
    <mergeCell ref="A25:C25"/>
    <mergeCell ref="N70:O70"/>
    <mergeCell ref="G66:I66"/>
    <mergeCell ref="A59:H59"/>
    <mergeCell ref="A29:O32"/>
    <mergeCell ref="A90:O90"/>
    <mergeCell ref="E76:H76"/>
    <mergeCell ref="M25:O25"/>
    <mergeCell ref="G68:I68"/>
    <mergeCell ref="A61:H61"/>
    <mergeCell ref="F40:J40"/>
    <mergeCell ref="A43:O46"/>
    <mergeCell ref="M77:O77"/>
    <mergeCell ref="I74:L74"/>
    <mergeCell ref="A77:D77"/>
    <mergeCell ref="A54:H54"/>
    <mergeCell ref="A56:H56"/>
    <mergeCell ref="A33:O35"/>
    <mergeCell ref="A1:A5"/>
    <mergeCell ref="A9:O9"/>
    <mergeCell ref="J66:K66"/>
    <mergeCell ref="C1:L1"/>
    <mergeCell ref="K39:O39"/>
    <mergeCell ref="A19:O21"/>
    <mergeCell ref="G70:I70"/>
    <mergeCell ref="A10:H10"/>
    <mergeCell ref="A70:C70"/>
    <mergeCell ref="I12:O12"/>
    <mergeCell ref="M73:O73"/>
    <mergeCell ref="I55:O55"/>
    <mergeCell ref="I14:O14"/>
    <mergeCell ref="J67:K67"/>
    <mergeCell ref="L67:M67"/>
    <mergeCell ref="I73:L73"/>
    <mergeCell ref="D70:F70"/>
    <mergeCell ref="A80:O80"/>
    <mergeCell ref="A27:C27"/>
    <mergeCell ref="A37:O37"/>
    <mergeCell ref="A11:H11"/>
    <mergeCell ref="M74:O74"/>
    <mergeCell ref="J69:K69"/>
    <mergeCell ref="A47:O50"/>
    <mergeCell ref="I13:O13"/>
    <mergeCell ref="A86:O88"/>
    <mergeCell ref="M27:O27"/>
    <mergeCell ref="A41:E41"/>
    <mergeCell ref="I15:O15"/>
    <mergeCell ref="A23:O23"/>
    <mergeCell ref="N1:O1"/>
    <mergeCell ref="G25:I25"/>
    <mergeCell ref="A12:H12"/>
    <mergeCell ref="J70:K70"/>
    <mergeCell ref="A68:C68"/>
    <mergeCell ref="A52:O52"/>
    <mergeCell ref="A57:H57"/>
    <mergeCell ref="D26:F26"/>
    <mergeCell ref="A14:H14"/>
    <mergeCell ref="I75:L75"/>
    <mergeCell ref="A81:O85"/>
    <mergeCell ref="A75:D75"/>
    <mergeCell ref="C4:L6"/>
    <mergeCell ref="I58:O58"/>
    <mergeCell ref="G67:I67"/>
    <mergeCell ref="E77:H7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2026-07-27T14:48:02Z</dcterms:modified>
  <cp:lastModifiedBy>JAG DESIGN</cp:lastModifiedBy>
  <cp:lastPrinted>2026-07-23T18:36:47Z</cp:lastPrinted>
</cp:coreProperties>
</file>