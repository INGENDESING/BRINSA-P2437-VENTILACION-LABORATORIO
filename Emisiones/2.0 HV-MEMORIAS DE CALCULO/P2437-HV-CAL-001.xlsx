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2e90018362cd82/Escritorio/HVAC/Calculos/Emisiones/2.0 HV-MEMORIAS DE CALCULO/"/>
    </mc:Choice>
  </mc:AlternateContent>
  <xr:revisionPtr revIDLastSave="2" documentId="8_{B9D4176A-0307-4246-9216-C006FE4583F2}" xr6:coauthVersionLast="47" xr6:coauthVersionMax="47" xr10:uidLastSave="{CBD1616B-6B46-4F68-95CB-A7623327241C}"/>
  <bookViews>
    <workbookView xWindow="-33017" yWindow="-5006" windowWidth="33120" windowHeight="18000" xr2:uid="{00000000-000D-0000-FFFF-FFFF00000000}"/>
  </bookViews>
  <sheets>
    <sheet name="PORTADA" sheetId="1" r:id="rId1"/>
    <sheet name="MEMORIA DE CÁLCULO" sheetId="2" r:id="rId2"/>
  </sheets>
  <definedNames>
    <definedName name="_xlnm.Print_Area" localSheetId="1">'MEMORIA DE CÁLCULO'!$A$8:$O$144</definedName>
    <definedName name="_xlnm.Print_Area" localSheetId="0">PORTADA!$A$1:$BZ$66</definedName>
    <definedName name="_xlnm.Print_Titles" localSheetId="1">'MEMORIA DE CÁLCULO'!$1:$7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8" i="2" l="1"/>
  <c r="E134" i="2"/>
  <c r="E132" i="2"/>
  <c r="E123" i="2"/>
  <c r="G113" i="2"/>
  <c r="G112" i="2"/>
  <c r="G111" i="2"/>
  <c r="G110" i="2"/>
  <c r="E83" i="2"/>
  <c r="E79" i="2"/>
  <c r="E77" i="2"/>
  <c r="J47" i="2"/>
  <c r="E68" i="2" s="1"/>
  <c r="N6" i="2"/>
  <c r="B6" i="2"/>
  <c r="N5" i="2"/>
  <c r="N4" i="2"/>
  <c r="C4" i="2"/>
  <c r="N3" i="2"/>
  <c r="N2" i="2"/>
  <c r="C2" i="2"/>
  <c r="N1" i="2"/>
  <c r="C1" i="2"/>
  <c r="BD42" i="1"/>
  <c r="AW42" i="1"/>
  <c r="AP42" i="1"/>
  <c r="AT27" i="1"/>
  <c r="AF27" i="1"/>
  <c r="R27" i="1"/>
  <c r="J48" i="2" l="1"/>
  <c r="J49" i="2"/>
  <c r="N47" i="2"/>
  <c r="J50" i="2"/>
  <c r="J53" i="2" l="1"/>
  <c r="J113" i="2"/>
  <c r="L113" i="2" s="1"/>
  <c r="N113" i="2" s="1"/>
  <c r="J112" i="2"/>
  <c r="L112" i="2" s="1"/>
  <c r="N112" i="2" s="1"/>
  <c r="J111" i="2"/>
  <c r="L111" i="2" s="1"/>
  <c r="N111" i="2" s="1"/>
  <c r="J51" i="2"/>
  <c r="N50" i="2"/>
  <c r="J110" i="2"/>
  <c r="L110" i="2" s="1"/>
  <c r="N110" i="2" s="1"/>
  <c r="J57" i="2"/>
  <c r="E70" i="2"/>
  <c r="E125" i="2"/>
  <c r="N49" i="2"/>
  <c r="E69" i="2"/>
  <c r="N48" i="2"/>
  <c r="E124" i="2"/>
  <c r="E78" i="2" l="1"/>
  <c r="J58" i="2"/>
  <c r="N57" i="2"/>
  <c r="E133" i="2"/>
  <c r="E126" i="2"/>
  <c r="J52" i="2"/>
  <c r="N51" i="2"/>
  <c r="E71" i="2"/>
  <c r="J63" i="2"/>
  <c r="J54" i="2"/>
  <c r="E74" i="2"/>
  <c r="N53" i="2"/>
  <c r="E129" i="2"/>
  <c r="E130" i="2" l="1"/>
  <c r="E75" i="2"/>
  <c r="J55" i="2"/>
  <c r="N54" i="2"/>
  <c r="N58" i="2"/>
  <c r="E135" i="2"/>
  <c r="J59" i="2"/>
  <c r="E80" i="2"/>
  <c r="E139" i="2"/>
  <c r="E84" i="2"/>
  <c r="N63" i="2"/>
  <c r="N52" i="2"/>
  <c r="E128" i="2"/>
  <c r="E72" i="2"/>
  <c r="E127" i="2"/>
  <c r="E73" i="2"/>
  <c r="J61" i="2" l="1"/>
  <c r="N59" i="2"/>
  <c r="J60" i="2"/>
  <c r="N55" i="2"/>
  <c r="J56" i="2"/>
  <c r="E131" i="2" l="1"/>
  <c r="N56" i="2"/>
  <c r="E76" i="2"/>
  <c r="J62" i="2"/>
  <c r="N60" i="2"/>
  <c r="E81" i="2"/>
  <c r="E136" i="2"/>
  <c r="N61" i="2"/>
  <c r="E137" i="2" l="1"/>
  <c r="E82" i="2"/>
  <c r="N62" i="2"/>
</calcChain>
</file>

<file path=xl/sharedStrings.xml><?xml version="1.0" encoding="utf-8"?>
<sst xmlns="http://schemas.openxmlformats.org/spreadsheetml/2006/main" count="377" uniqueCount="253">
  <si>
    <t>DISEÑO DE INGENIERÍA</t>
  </si>
  <si>
    <t>CODIGO:</t>
  </si>
  <si>
    <t>P2437-HV-CAL-001</t>
  </si>
  <si>
    <t>REVIZADO</t>
  </si>
  <si>
    <t>JULIO 23 DEL 2026</t>
  </si>
  <si>
    <t>REVISION:</t>
  </si>
  <si>
    <t>CERO (0)</t>
  </si>
  <si>
    <t>APROBADO</t>
  </si>
  <si>
    <t>JULIO 24 DEL 2026</t>
  </si>
  <si>
    <t>SISTEMA HVAC LABORATORIO BRINSA</t>
  </si>
  <si>
    <t>FECHA:</t>
  </si>
  <si>
    <t>ELABORO:</t>
  </si>
  <si>
    <t>J.ARBOLEDA</t>
  </si>
  <si>
    <t>MEMORIA DE CÁLCULO DEL SISTEMA DE VENTILACIÓN DEL LABORATORIO</t>
  </si>
  <si>
    <t>REVISO:</t>
  </si>
  <si>
    <t>F.NAVIA</t>
  </si>
  <si>
    <t>PROYECTO</t>
  </si>
  <si>
    <t>P2437</t>
  </si>
  <si>
    <t>APROBO:</t>
  </si>
  <si>
    <t>H.ROSERO</t>
  </si>
  <si>
    <t>Elaborado por:</t>
  </si>
  <si>
    <t>Revisado por:</t>
  </si>
  <si>
    <t>Aprobado por:</t>
  </si>
  <si>
    <t>Versión</t>
  </si>
  <si>
    <t>Autor</t>
  </si>
  <si>
    <t>Descripción</t>
  </si>
  <si>
    <t>Fecha de elaboración</t>
  </si>
  <si>
    <t>Fecha de revisión</t>
  </si>
  <si>
    <t>Revisado por</t>
  </si>
  <si>
    <t>Emitido para cotizacion</t>
  </si>
  <si>
    <t xml:space="preserve">REVISO:      </t>
  </si>
  <si>
    <t>PROYECTO:</t>
  </si>
  <si>
    <t>1. DATOS GENERALES — MEMORIA DE CÁLCULO, SISTEMA DE VENTILACIÓN</t>
  </si>
  <si>
    <t>Información del proyecto</t>
  </si>
  <si>
    <t>Concepto</t>
  </si>
  <si>
    <t>Valor</t>
  </si>
  <si>
    <t>Unidad</t>
  </si>
  <si>
    <t>Observación</t>
  </si>
  <si>
    <t>Nombre del proyecto</t>
  </si>
  <si>
    <t>Laboratorio Brinsa</t>
  </si>
  <si>
    <t>-</t>
  </si>
  <si>
    <t>Ventilación por impulsión directa, descarga libre a atmósfera</t>
  </si>
  <si>
    <t>Ubicación</t>
  </si>
  <si>
    <t>C:\Users\ingen\OneDrive\Escritorio\HVAC\Calculos</t>
  </si>
  <si>
    <t>Carpeta de cálculos del proyecto</t>
  </si>
  <si>
    <t>Volumen efectivo del laboratorio (V)</t>
  </si>
  <si>
    <t>320</t>
  </si>
  <si>
    <t>m³</t>
  </si>
  <si>
    <t>Medición / modelo 3D</t>
  </si>
  <si>
    <t>Renovaciones de aire (N)</t>
  </si>
  <si>
    <t>12</t>
  </si>
  <si>
    <t>ren/h</t>
  </si>
  <si>
    <t>Sustentado normativamente</t>
  </si>
  <si>
    <t>Objetivo</t>
  </si>
  <si>
    <t>Ventilación y filtración</t>
  </si>
  <si>
    <t>12 ACH, MERV 13-14; sin presurización (REV1)</t>
  </si>
  <si>
    <t>Estrategia</t>
  </si>
  <si>
    <t>Ventilador axial directo + rejillas de exfiltración</t>
  </si>
  <si>
    <t>Sin ductos de impulsión</t>
  </si>
  <si>
    <t>Objetivo del documento</t>
  </si>
  <si>
    <t>Presentar de forma atómica, funcional y verificable el cálculo del caudal de aire, potencia del ventilador axial, área de impulsión del ventilador (sin ductos) y área/dimensiones de las rejillas de exfiltración para modelado CFD, con sustentación normativa.</t>
  </si>
  <si>
    <t>2. PARÁMETROS DE ENTRADA</t>
  </si>
  <si>
    <t>Parámetro</t>
  </si>
  <si>
    <t>Símbolo</t>
  </si>
  <si>
    <t>Referencia / Nota</t>
  </si>
  <si>
    <t>Volumen efectivo del laboratorio</t>
  </si>
  <si>
    <t>V</t>
  </si>
  <si>
    <t>Medición directa o del modelo</t>
  </si>
  <si>
    <t>Renovaciones de aire</t>
  </si>
  <si>
    <t>N</t>
  </si>
  <si>
    <t>Ver sección 5. NORMATIVA</t>
  </si>
  <si>
    <t>Presión total estimada del ventilador</t>
  </si>
  <si>
    <t>ΔP</t>
  </si>
  <si>
    <t>Pa</t>
  </si>
  <si>
    <t>Escenario MERV cargado (ver sección 6. ESCENARIOS DE FILTRACIÓN)</t>
  </si>
  <si>
    <t>Eficiencia total del ventilador</t>
  </si>
  <si>
    <t>η</t>
  </si>
  <si>
    <t>Axial típico (provisional; confirmar con catálogo)</t>
  </si>
  <si>
    <t>Velocidad en boca del ventilador</t>
  </si>
  <si>
    <t>v_vent</t>
  </si>
  <si>
    <t>m/s</t>
  </si>
  <si>
    <t>Para CFD, rango 6–12 m/s</t>
  </si>
  <si>
    <t>Velocidad de exfiltración en rejillas</t>
  </si>
  <si>
    <t>v_sal</t>
  </si>
  <si>
    <t>Rango recomendado 2.5–4.0 m/s</t>
  </si>
  <si>
    <t>Número de rejillas de salida</t>
  </si>
  <si>
    <t>n_rej</t>
  </si>
  <si>
    <t>unid.</t>
  </si>
  <si>
    <t>Distribución propuesta</t>
  </si>
  <si>
    <t>Proporción ancho/alto rejilla</t>
  </si>
  <si>
    <t>prop</t>
  </si>
  <si>
    <t>353 mm × 336 mm ≈ 0.95</t>
  </si>
  <si>
    <t>Densidad del aire</t>
  </si>
  <si>
    <t>rho</t>
  </si>
  <si>
    <t>kg/m³</t>
  </si>
  <si>
    <t>Bases de diseño (Cajicá, 2 558 msnm, P_atm = 74.1 kPa, aire 20 °C)</t>
  </si>
  <si>
    <t>Coeficiente de descarga orificio</t>
  </si>
  <si>
    <t>Cd</t>
  </si>
  <si>
    <t>Orificio borde afilado, ASHRAE Handbook Fundamentals</t>
  </si>
  <si>
    <t>Notas:</t>
  </si>
  <si>
    <t>• Modifique los valores en amarillo; todos los cálculos se actualizan automáticamente.</t>
  </si>
  <si>
    <t>• Las fórmulas están visibles en la barra de fórmulas de cada celda.</t>
  </si>
  <si>
    <t>• Unidades: 1 m³/min = 35.3147 CFM; 1 kW = 1.341 HP.</t>
  </si>
  <si>
    <t>3. DESARROLLO DE CÁLCULOS</t>
  </si>
  <si>
    <t>Paso</t>
  </si>
  <si>
    <t>Fórmula / Valor</t>
  </si>
  <si>
    <t>Resultado</t>
  </si>
  <si>
    <t>Referencia celda</t>
  </si>
  <si>
    <t>1</t>
  </si>
  <si>
    <t>Caudal de aire volumétrico</t>
  </si>
  <si>
    <t>Q = V × N / 60</t>
  </si>
  <si>
    <t>m³/min</t>
  </si>
  <si>
    <t>2</t>
  </si>
  <si>
    <t>Caudal de aire en m³/h</t>
  </si>
  <si>
    <t>Q_h = Q × 60</t>
  </si>
  <si>
    <t>m³/h</t>
  </si>
  <si>
    <t>3</t>
  </si>
  <si>
    <t>Caudal de aire en CFM</t>
  </si>
  <si>
    <t>Q_cfm = Q × 35.3147</t>
  </si>
  <si>
    <t>CFM</t>
  </si>
  <si>
    <t>4</t>
  </si>
  <si>
    <t>Caudal en m³/s</t>
  </si>
  <si>
    <t>Q_s = Q / 60</t>
  </si>
  <si>
    <t>m³/s</t>
  </si>
  <si>
    <t>5</t>
  </si>
  <si>
    <t>Potencia teórica del ventilador</t>
  </si>
  <si>
    <t>P = Q_s × ΔP / (η × 1000)</t>
  </si>
  <si>
    <t>kW</t>
  </si>
  <si>
    <t>6</t>
  </si>
  <si>
    <t>Potencia en HP</t>
  </si>
  <si>
    <t>HP = P × 1.341</t>
  </si>
  <si>
    <t>HP</t>
  </si>
  <si>
    <t>7</t>
  </si>
  <si>
    <t>Área de impulsión del ventilador</t>
  </si>
  <si>
    <t>A_vent = Q_s / v_vent</t>
  </si>
  <si>
    <t>m²</t>
  </si>
  <si>
    <t>8</t>
  </si>
  <si>
    <t>Diámetro equivalente del ventilador</t>
  </si>
  <si>
    <t>D = √(4×A_vent/π)</t>
  </si>
  <si>
    <t>m</t>
  </si>
  <si>
    <t>9</t>
  </si>
  <si>
    <t>Radio del ventilador</t>
  </si>
  <si>
    <t>r = D / 2</t>
  </si>
  <si>
    <t>10</t>
  </si>
  <si>
    <t>Radio del ventilador en mm</t>
  </si>
  <si>
    <t>r_mm = r × 1000</t>
  </si>
  <si>
    <t>mm</t>
  </si>
  <si>
    <t>11</t>
  </si>
  <si>
    <t>Área neta total de rejillas de salida</t>
  </si>
  <si>
    <t>A_exfil = Q_s / v_sal</t>
  </si>
  <si>
    <t>Área neta por rejilla de salida</t>
  </si>
  <si>
    <t>A_rej = A_exfil / n_rej</t>
  </si>
  <si>
    <t>13</t>
  </si>
  <si>
    <t>Altura de rejilla (proporción dada)</t>
  </si>
  <si>
    <t>h = √(A_rej / prop)</t>
  </si>
  <si>
    <t>14</t>
  </si>
  <si>
    <t>Ancho de rejilla</t>
  </si>
  <si>
    <t>w = A_rej / h</t>
  </si>
  <si>
    <t>15</t>
  </si>
  <si>
    <t>Altura de rejilla en mm</t>
  </si>
  <si>
    <t>h_mm = h × 1000</t>
  </si>
  <si>
    <t>16</t>
  </si>
  <si>
    <t>Ancho de rejilla en mm</t>
  </si>
  <si>
    <t>w_mm = w × 1000</t>
  </si>
  <si>
    <t>17</t>
  </si>
  <si>
    <t>Pérdida de presión en rejillas (descarga libre)</t>
  </si>
  <si>
    <t>dP = (rho/2)×(Q_s/(Cd×A_exfil))²</t>
  </si>
  <si>
    <t>4. RESUMEN DE RESULTADOS DE DISEÑO</t>
  </si>
  <si>
    <t>Caudal de diseño</t>
  </si>
  <si>
    <t>Caudal de impulsión requerido</t>
  </si>
  <si>
    <t>Equivalente en metros cúbicos por hora</t>
  </si>
  <si>
    <t>Equivalente en pies cúbicos por minuto</t>
  </si>
  <si>
    <t>Escenario MERV cargado a 165 Pa y η=0.55 (axial)</t>
  </si>
  <si>
    <t>Unidades imperiales</t>
  </si>
  <si>
    <t>Potencia instalada recomendada</t>
  </si>
  <si>
    <t>×1.5 margen de servicio, redondeo 0.25 HP (provisional; confirmar con catálogo)</t>
  </si>
  <si>
    <t>Boca del ventilador</t>
  </si>
  <si>
    <t>Para referencia</t>
  </si>
  <si>
    <t>Radio del ventilador (CFD)</t>
  </si>
  <si>
    <t>Círculo de inyección</t>
  </si>
  <si>
    <t>Velocidad de impulsión</t>
  </si>
  <si>
    <t>Condición de entrada CFD</t>
  </si>
  <si>
    <t>A v=3 m/s</t>
  </si>
  <si>
    <t>Cada rejilla</t>
  </si>
  <si>
    <t>Altura de rejilla de salida</t>
  </si>
  <si>
    <t>Dimensiones para CFD</t>
  </si>
  <si>
    <t>Ancho de rejilla de salida</t>
  </si>
  <si>
    <t>Velocidad de exfiltración</t>
  </si>
  <si>
    <t>Condición de salida CFD (pressure outlet)</t>
  </si>
  <si>
    <t>Pérdida de presión en rejillas</t>
  </si>
  <si>
    <t>Descarga libre a atmósfera, Cd=0.6</t>
  </si>
  <si>
    <t>5. SUSTENTACIÓN NORMATIVA — 12 RENOVACIONES/HORA</t>
  </si>
  <si>
    <t>Norma / Guía</t>
  </si>
  <si>
    <t>Año / Edición</t>
  </si>
  <si>
    <t>Recomendación ACH</t>
  </si>
  <si>
    <t>ASHRAE 170 — Ventilation of Health Care Facilities</t>
  </si>
  <si>
    <t>2021</t>
  </si>
  <si>
    <t>6–15 ACH</t>
  </si>
  <si>
    <t>Laboratorios clínicos/procedimiento</t>
  </si>
  <si>
    <t>ASHRAE 62.1 — Ventilation for Acceptable IAQ</t>
  </si>
  <si>
    <t>2022</t>
  </si>
  <si>
    <t>Por ocupación y área</t>
  </si>
  <si>
    <t>Caudal mínimo de aire exterior</t>
  </si>
  <si>
    <t>OSHA 29 CFR 1910.1450 — Laboratory Standard</t>
  </si>
  <si>
    <t>2012</t>
  </si>
  <si>
    <t>Según PEL</t>
  </si>
  <si>
    <t>Ventilación para control de exposición</t>
  </si>
  <si>
    <t>NFPA 99 — Health Care Facilities Code</t>
  </si>
  <si>
    <t>Cumplimiento de sistemas</t>
  </si>
  <si>
    <t>Fiabilidad de sistemas de aire</t>
  </si>
  <si>
    <t>WHO — Laboratory Biosafety Manual (BSL-2)</t>
  </si>
  <si>
    <t>2004</t>
  </si>
  <si>
    <t>6–12 ACH</t>
  </si>
  <si>
    <t>12 ACH = límite superior BSL-2</t>
  </si>
  <si>
    <t>WHO — Laboratory Biosafety Manual (BSL-3)</t>
  </si>
  <si>
    <t>12–15 ACH</t>
  </si>
  <si>
    <t>12 ACH = umbral inferior BSL-3</t>
  </si>
  <si>
    <t>NIH — Design Requirements Manual</t>
  </si>
  <si>
    <t>2023</t>
  </si>
  <si>
    <t>10–12 ACH</t>
  </si>
  <si>
    <t>Punto de diseño para laboratorios biomédicos</t>
  </si>
  <si>
    <t>ASHRAE Handbook — Fundamentals</t>
  </si>
  <si>
    <t>—</t>
  </si>
  <si>
    <t>Coeficiente de descarga de orificios (Cd)</t>
  </si>
  <si>
    <t>RETIE (Colombia)</t>
  </si>
  <si>
    <t>vigente</t>
  </si>
  <si>
    <t>Seguridad eléctrica del motor del ventilador</t>
  </si>
  <si>
    <t>NTC 2050 (Colombia)</t>
  </si>
  <si>
    <t>Circuitos y protecciones eléctricas</t>
  </si>
  <si>
    <t>Resolución 0312/2019 MinSalud (Colombia)</t>
  </si>
  <si>
    <t>2019</t>
  </si>
  <si>
    <t>Habilitación de servicios de salud (si aplica)</t>
  </si>
  <si>
    <t>Conclusión</t>
  </si>
  <si>
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</si>
  <si>
    <t>6. ESCENARIOS DE FILTRACIÓN Y MOTOR RECOMENDADO</t>
  </si>
  <si>
    <t>ΔP_vent total = ΔP_filtro + ΔP_rejillas (11 Pa). Sin presurización (REV1: cambio de alcance del cliente). El caudal Q_s se toma del paso 4 de la sección 3 (celda J50). Sitio: Cajicá, Cundinamarca (2 558 msnm, ρ = 0.88 kg/m³).</t>
  </si>
  <si>
    <t>Escenario de filtración</t>
  </si>
  <si>
    <t>ΔP filtro (Pa)</t>
  </si>
  <si>
    <t>ΔP vent total (Pa)</t>
  </si>
  <si>
    <t>P teórica (kW)</t>
  </si>
  <si>
    <t>P teórica (HP)</t>
  </si>
  <si>
    <t>Motor recomendado (HP)</t>
  </si>
  <si>
    <t>MERV 13-14 limpio</t>
  </si>
  <si>
    <t>MERV 13-14 cargado (diseño)</t>
  </si>
  <si>
    <t>HEPA H13 limpio (referencia histórica — no aplica)</t>
  </si>
  <si>
    <t>HEPA H13 cargado (referencia histórica — no aplica)</t>
  </si>
  <si>
    <t>Nota:</t>
  </si>
  <si>
    <t>El motor provisional de 0.75 HP TEFC anticorrosivo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</si>
  <si>
    <t>7. VISTA RÁPIDA — RESULTADOS (FÓRMULAS VIVAS)</t>
  </si>
  <si>
    <t>Escenario MERV cargado a 165 Pa (axial)</t>
  </si>
  <si>
    <t>×1.5 margen de servicio (provisional)</t>
  </si>
  <si>
    <t>Condición de salida CFD</t>
  </si>
  <si>
    <t>Sección con fórmulas vivas que referencian las secciones 3. DESARROLLO DE CÁLCULOS y 2. PARÁMETROS DE ENTRADA de esta misma hoja. Si modifica las entradas, esta vista y la sección 4. RESULTADOS se actualizan automáticamente.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</si>
</sst>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00000000000"/>
    <numFmt numFmtId="166" formatCode="0.0000"/>
    <numFmt numFmtId="167" formatCode="0.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2"/>
      <name val="Verdana"/>
      <family val="2"/>
    </font>
    <font>
      <sz val="12"/>
      <name val="Verdana"/>
      <family val="2"/>
    </font>
    <font>
      <sz val="12"/>
      <color theme="1"/>
      <name val="Verdana"/>
      <family val="2"/>
    </font>
    <font>
      <sz val="12"/>
      <color rgb="FFEAEAEA"/>
      <name val="Verdana"/>
      <family val="2"/>
    </font>
    <font>
      <b/>
      <sz val="12"/>
      <color theme="1"/>
      <name val="Verdana"/>
      <family val="2"/>
    </font>
    <font>
      <sz val="11"/>
      <color theme="1"/>
      <name val="Times New Roman"/>
    </font>
    <font>
      <sz val="12"/>
      <color rgb="FF00B050"/>
      <name val="Times New Roman"/>
    </font>
    <font>
      <b/>
      <sz val="12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20"/>
      <color theme="1"/>
      <name val="Times New Roman"/>
      <family val="1"/>
    </font>
    <font>
      <b/>
      <i/>
      <sz val="20"/>
      <color theme="1"/>
      <name val="Times New Roman"/>
      <family val="1"/>
    </font>
    <font>
      <sz val="20"/>
      <color theme="1"/>
      <name val="Times New Roman"/>
      <family val="1"/>
    </font>
    <font>
      <sz val="20"/>
      <color theme="1"/>
      <name val="Calibri"/>
      <family val="2"/>
      <scheme val="minor"/>
    </font>
    <font>
      <b/>
      <sz val="20"/>
      <color rgb="FF1F4E78"/>
      <name val="Times New Roman"/>
      <family val="1"/>
    </font>
    <font>
      <b/>
      <sz val="20"/>
      <color rgb="FFFFFFFF"/>
      <name val="Times New Roman"/>
      <family val="1"/>
    </font>
    <font>
      <sz val="20"/>
      <name val="Times New Roman"/>
      <family val="1"/>
    </font>
    <font>
      <b/>
      <sz val="20"/>
      <color rgb="FF000000"/>
      <name val="Times New Roman"/>
      <family val="1"/>
    </font>
    <font>
      <b/>
      <sz val="20"/>
      <color rgb="FF000080"/>
      <name val="Times New Roman"/>
      <family val="1"/>
    </font>
    <font>
      <b/>
      <sz val="20"/>
      <color rgb="FF0061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  <bgColor rgb="FF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43" fontId="2" fillId="0" borderId="0"/>
  </cellStyleXfs>
  <cellXfs count="99">
    <xf numFmtId="0" fontId="0" fillId="0" borderId="0" xfId="0"/>
    <xf numFmtId="0" fontId="5" fillId="0" borderId="0" xfId="2" applyFont="1"/>
    <xf numFmtId="0" fontId="5" fillId="0" borderId="0" xfId="1" applyFont="1"/>
    <xf numFmtId="0" fontId="5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0" xfId="1" applyFont="1" applyAlignment="1">
      <alignment horizontal="left"/>
    </xf>
    <xf numFmtId="0" fontId="6" fillId="0" borderId="0" xfId="2" applyFont="1"/>
    <xf numFmtId="0" fontId="5" fillId="0" borderId="0" xfId="1" applyFont="1" applyAlignment="1">
      <alignment horizontal="left" vertical="center"/>
    </xf>
    <xf numFmtId="1" fontId="5" fillId="0" borderId="0" xfId="1" applyNumberFormat="1" applyFont="1" applyAlignment="1">
      <alignment horizontal="center"/>
    </xf>
    <xf numFmtId="43" fontId="5" fillId="0" borderId="0" xfId="3" applyFont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2" applyFont="1" applyAlignment="1">
      <alignment horizontal="right"/>
    </xf>
    <xf numFmtId="0" fontId="5" fillId="2" borderId="0" xfId="2" applyFont="1" applyFill="1"/>
    <xf numFmtId="0" fontId="8" fillId="0" borderId="0" xfId="0" applyFont="1"/>
    <xf numFmtId="0" fontId="11" fillId="0" borderId="0" xfId="1" applyFont="1" applyAlignment="1">
      <alignment horizontal="center"/>
    </xf>
    <xf numFmtId="14" fontId="1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5" fillId="0" borderId="0" xfId="1" applyFont="1" applyAlignment="1">
      <alignment horizontal="left"/>
    </xf>
    <xf numFmtId="0" fontId="5" fillId="0" borderId="0" xfId="1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1" xfId="1" applyFont="1" applyBorder="1" applyAlignment="1">
      <alignment horizontal="center" vertical="center" wrapText="1"/>
    </xf>
    <xf numFmtId="165" fontId="4" fillId="0" borderId="1" xfId="1" applyNumberFormat="1" applyFont="1" applyBorder="1" applyAlignment="1" applyProtection="1">
      <alignment horizontal="left" vertical="center" indent="1"/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5" fillId="0" borderId="0" xfId="1" applyFont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3" xfId="0" applyFont="1" applyBorder="1"/>
    <xf numFmtId="0" fontId="8" fillId="0" borderId="6" xfId="0" applyFont="1" applyBorder="1"/>
    <xf numFmtId="0" fontId="5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indent="1"/>
    </xf>
    <xf numFmtId="0" fontId="0" fillId="0" borderId="9" xfId="0" applyBorder="1"/>
    <xf numFmtId="0" fontId="0" fillId="0" borderId="10" xfId="0" applyBorder="1"/>
    <xf numFmtId="164" fontId="5" fillId="0" borderId="1" xfId="1" applyNumberFormat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8" fillId="0" borderId="0" xfId="0" applyFont="1"/>
    <xf numFmtId="49" fontId="4" fillId="0" borderId="1" xfId="1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left" vertical="center"/>
    </xf>
    <xf numFmtId="0" fontId="8" fillId="0" borderId="2" xfId="0" applyFont="1" applyBorder="1"/>
    <xf numFmtId="0" fontId="5" fillId="0" borderId="0" xfId="2" applyFont="1"/>
    <xf numFmtId="0" fontId="8" fillId="0" borderId="7" xfId="0" applyFont="1" applyBorder="1"/>
    <xf numFmtId="0" fontId="7" fillId="0" borderId="1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1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8" fillId="0" borderId="9" xfId="0" applyFont="1" applyBorder="1"/>
    <xf numFmtId="0" fontId="7" fillId="4" borderId="1" xfId="1" applyFont="1" applyFill="1" applyBorder="1" applyAlignment="1">
      <alignment horizontal="center" vertical="center"/>
    </xf>
    <xf numFmtId="0" fontId="8" fillId="0" borderId="10" xfId="0" applyFont="1" applyBorder="1"/>
    <xf numFmtId="0" fontId="12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8" fillId="0" borderId="8" xfId="0" applyFont="1" applyBorder="1"/>
    <xf numFmtId="165" fontId="1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9" xfId="0" applyFont="1" applyBorder="1"/>
    <xf numFmtId="0" fontId="15" fillId="0" borderId="10" xfId="0" applyFont="1" applyBorder="1"/>
    <xf numFmtId="0" fontId="13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 indent="4"/>
    </xf>
    <xf numFmtId="0" fontId="16" fillId="0" borderId="0" xfId="0" applyFont="1"/>
    <xf numFmtId="0" fontId="15" fillId="0" borderId="11" xfId="0" applyFont="1" applyBorder="1"/>
    <xf numFmtId="0" fontId="15" fillId="0" borderId="2" xfId="0" applyFont="1" applyBorder="1"/>
    <xf numFmtId="0" fontId="15" fillId="0" borderId="4" xfId="0" applyFont="1" applyBorder="1"/>
    <xf numFmtId="0" fontId="15" fillId="0" borderId="6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2" xfId="0" applyFont="1" applyBorder="1"/>
    <xf numFmtId="0" fontId="15" fillId="0" borderId="3" xfId="0" applyFont="1" applyBorder="1"/>
    <xf numFmtId="0" fontId="15" fillId="0" borderId="0" xfId="0" applyFont="1"/>
    <xf numFmtId="0" fontId="15" fillId="0" borderId="5" xfId="0" applyFont="1" applyBorder="1"/>
    <xf numFmtId="0" fontId="13" fillId="0" borderId="1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top" wrapText="1"/>
    </xf>
    <xf numFmtId="0" fontId="16" fillId="0" borderId="0" xfId="0" applyFont="1"/>
    <xf numFmtId="0" fontId="18" fillId="5" borderId="13" xfId="0" applyFont="1" applyFill="1" applyBorder="1" applyAlignment="1">
      <alignment horizontal="center" vertical="center" wrapText="1"/>
    </xf>
    <xf numFmtId="0" fontId="19" fillId="0" borderId="13" xfId="0" applyFont="1" applyBorder="1" applyAlignment="1">
      <alignment horizontal="left" vertical="top" wrapText="1"/>
    </xf>
    <xf numFmtId="0" fontId="16" fillId="0" borderId="13" xfId="0" applyFont="1" applyBorder="1"/>
    <xf numFmtId="0" fontId="19" fillId="0" borderId="13" xfId="0" applyFont="1" applyBorder="1" applyAlignment="1">
      <alignment horizontal="center" vertical="center" wrapText="1"/>
    </xf>
    <xf numFmtId="0" fontId="19" fillId="0" borderId="0" xfId="0" applyFont="1" applyAlignment="1">
      <alignment horizontal="left" vertical="top" wrapText="1"/>
    </xf>
    <xf numFmtId="0" fontId="20" fillId="6" borderId="13" xfId="0" applyFont="1" applyFill="1" applyBorder="1" applyAlignment="1">
      <alignment horizontal="center" vertical="center" wrapText="1"/>
    </xf>
    <xf numFmtId="0" fontId="20" fillId="6" borderId="13" xfId="0" applyFont="1" applyFill="1" applyBorder="1"/>
    <xf numFmtId="0" fontId="21" fillId="7" borderId="13" xfId="0" applyFont="1" applyFill="1" applyBorder="1" applyAlignment="1">
      <alignment horizontal="left" vertical="top" wrapText="1"/>
    </xf>
    <xf numFmtId="0" fontId="21" fillId="7" borderId="13" xfId="0" applyFont="1" applyFill="1" applyBorder="1"/>
    <xf numFmtId="166" fontId="22" fillId="8" borderId="13" xfId="0" applyNumberFormat="1" applyFont="1" applyFill="1" applyBorder="1" applyAlignment="1">
      <alignment horizontal="center" vertical="center" wrapText="1"/>
    </xf>
    <xf numFmtId="166" fontId="22" fillId="8" borderId="13" xfId="0" applyNumberFormat="1" applyFont="1" applyFill="1" applyBorder="1"/>
    <xf numFmtId="1" fontId="22" fillId="8" borderId="13" xfId="0" applyNumberFormat="1" applyFont="1" applyFill="1" applyBorder="1" applyAlignment="1">
      <alignment horizontal="center" vertical="center" wrapText="1"/>
    </xf>
    <xf numFmtId="1" fontId="22" fillId="8" borderId="13" xfId="0" applyNumberFormat="1" applyFont="1" applyFill="1" applyBorder="1"/>
    <xf numFmtId="167" fontId="22" fillId="8" borderId="13" xfId="0" applyNumberFormat="1" applyFont="1" applyFill="1" applyBorder="1" applyAlignment="1">
      <alignment horizontal="center" vertical="center" wrapText="1"/>
    </xf>
    <xf numFmtId="167" fontId="22" fillId="8" borderId="13" xfId="0" applyNumberFormat="1" applyFont="1" applyFill="1" applyBorder="1"/>
  </cellXfs>
  <cellStyles count="4">
    <cellStyle name="Millares 2" xfId="3" xr:uid="{00000000-0005-0000-0000-000003000000}"/>
    <cellStyle name="Normal" xfId="0" builtinId="0"/>
    <cellStyle name="Normal 3 2" xfId="2" xr:uid="{00000000-0005-0000-0000-000002000000}"/>
    <cellStyle name="Normal 6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154215</xdr:colOff>
      <xdr:row>1</xdr:row>
      <xdr:rowOff>147735</xdr:rowOff>
    </xdr:from>
    <xdr:to>
      <xdr:col>23</xdr:col>
      <xdr:colOff>508000</xdr:colOff>
      <xdr:row>4</xdr:row>
      <xdr:rowOff>18144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1072" y="466531"/>
          <a:ext cx="2530928" cy="82679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99786</xdr:colOff>
      <xdr:row>0</xdr:row>
      <xdr:rowOff>117927</xdr:rowOff>
    </xdr:from>
    <xdr:to>
      <xdr:col>12</xdr:col>
      <xdr:colOff>27213</xdr:colOff>
      <xdr:row>4</xdr:row>
      <xdr:rowOff>234424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6572" y="117927"/>
          <a:ext cx="2422070" cy="138649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255351</xdr:colOff>
      <xdr:row>1</xdr:row>
      <xdr:rowOff>283492</xdr:rowOff>
    </xdr:from>
    <xdr:to>
      <xdr:col>1</xdr:col>
      <xdr:colOff>2267857</xdr:colOff>
      <xdr:row>3</xdr:row>
      <xdr:rowOff>194757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95351" y="664492"/>
          <a:ext cx="2012506" cy="67326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276012</xdr:colOff>
      <xdr:row>1</xdr:row>
      <xdr:rowOff>5871</xdr:rowOff>
    </xdr:from>
    <xdr:to>
      <xdr:col>0</xdr:col>
      <xdr:colOff>2191697</xdr:colOff>
      <xdr:row>3</xdr:row>
      <xdr:rowOff>211145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540" t="12476" r="4665" b="12920"/>
        <a:stretch>
          <a:fillRect/>
        </a:stretch>
      </xdr:blipFill>
      <xdr:spPr>
        <a:xfrm>
          <a:off x="276012" y="318836"/>
          <a:ext cx="1903852" cy="95135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328125" defaultRowHeight="12" customHeight="1" x14ac:dyDescent="0.35"/>
  <cols>
    <col min="1" max="22" width="3.1328125" style="2" customWidth="1"/>
    <col min="23" max="23" width="5.19921875" style="2" customWidth="1"/>
    <col min="24" max="24" width="8.86328125" style="2" customWidth="1"/>
    <col min="25" max="48" width="3.1328125" style="2" customWidth="1"/>
    <col min="49" max="53" width="3.1328125" style="5" customWidth="1"/>
    <col min="54" max="79" width="3.1328125" style="2" customWidth="1"/>
    <col min="80" max="80" width="54.46484375" style="2" customWidth="1"/>
    <col min="81" max="81" width="28.6640625" style="2" customWidth="1"/>
    <col min="82" max="82" width="3.1328125" style="2" customWidth="1"/>
    <col min="83" max="16384" width="3.1328125" style="2"/>
  </cols>
  <sheetData>
    <row r="1" spans="1:82" s="1" customFormat="1" ht="25.05" customHeight="1" x14ac:dyDescent="0.45">
      <c r="A1" s="56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57"/>
      <c r="N1" s="41"/>
      <c r="O1" s="42"/>
      <c r="P1" s="16"/>
      <c r="Q1" s="16"/>
      <c r="R1" s="16"/>
      <c r="S1" s="16"/>
      <c r="T1" s="16"/>
      <c r="U1" s="16"/>
      <c r="V1" s="16"/>
      <c r="W1" s="16"/>
      <c r="X1" s="16"/>
      <c r="Y1" s="17"/>
      <c r="Z1" s="48" t="s">
        <v>0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7"/>
      <c r="BC1" s="34" t="s">
        <v>1</v>
      </c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6"/>
      <c r="BO1" s="26" t="s">
        <v>2</v>
      </c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8"/>
      <c r="CB1" s="11" t="s">
        <v>3</v>
      </c>
      <c r="CC1" s="12" t="s">
        <v>4</v>
      </c>
    </row>
    <row r="2" spans="1:82" s="1" customFormat="1" ht="25.05" customHeight="1" x14ac:dyDescent="0.45">
      <c r="A2" s="31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58"/>
      <c r="N2" s="31"/>
      <c r="O2" s="39"/>
      <c r="P2" s="43"/>
      <c r="Q2" s="43"/>
      <c r="R2" s="43"/>
      <c r="S2" s="43"/>
      <c r="T2" s="43"/>
      <c r="U2" s="43"/>
      <c r="V2" s="43"/>
      <c r="W2" s="43"/>
      <c r="X2" s="43"/>
      <c r="Y2" s="21"/>
      <c r="Z2" s="22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4"/>
      <c r="BC2" s="34" t="s">
        <v>5</v>
      </c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6"/>
      <c r="BO2" s="26" t="s">
        <v>6</v>
      </c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8"/>
      <c r="CB2" s="11" t="s">
        <v>7</v>
      </c>
      <c r="CC2" s="12" t="s">
        <v>8</v>
      </c>
    </row>
    <row r="3" spans="1:82" s="1" customFormat="1" ht="25.05" customHeight="1" x14ac:dyDescent="0.45">
      <c r="A3" s="31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58"/>
      <c r="N3" s="31"/>
      <c r="O3" s="39"/>
      <c r="P3" s="43"/>
      <c r="Q3" s="43"/>
      <c r="R3" s="43"/>
      <c r="S3" s="43"/>
      <c r="T3" s="43"/>
      <c r="U3" s="43"/>
      <c r="V3" s="43"/>
      <c r="W3" s="43"/>
      <c r="X3" s="43"/>
      <c r="Y3" s="21"/>
      <c r="Z3" s="48" t="s">
        <v>9</v>
      </c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7"/>
      <c r="BC3" s="34" t="s">
        <v>10</v>
      </c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6"/>
      <c r="BO3" s="26" t="s">
        <v>4</v>
      </c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8"/>
    </row>
    <row r="4" spans="1:82" s="1" customFormat="1" ht="25.05" customHeight="1" x14ac:dyDescent="0.45">
      <c r="A4" s="31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58"/>
      <c r="N4" s="31"/>
      <c r="O4" s="39"/>
      <c r="P4" s="43"/>
      <c r="Q4" s="43"/>
      <c r="R4" s="43"/>
      <c r="S4" s="43"/>
      <c r="T4" s="43"/>
      <c r="U4" s="43"/>
      <c r="V4" s="43"/>
      <c r="W4" s="43"/>
      <c r="X4" s="43"/>
      <c r="Y4" s="21"/>
      <c r="Z4" s="22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4"/>
      <c r="BC4" s="34" t="s">
        <v>11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6"/>
      <c r="BO4" s="26" t="s">
        <v>12</v>
      </c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8"/>
    </row>
    <row r="5" spans="1:82" s="1" customFormat="1" ht="25.05" customHeight="1" x14ac:dyDescent="0.45">
      <c r="A5" s="32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59"/>
      <c r="N5" s="32"/>
      <c r="O5" s="44"/>
      <c r="P5" s="23"/>
      <c r="Q5" s="23"/>
      <c r="R5" s="23"/>
      <c r="S5" s="23"/>
      <c r="T5" s="23"/>
      <c r="U5" s="23"/>
      <c r="V5" s="23"/>
      <c r="W5" s="23"/>
      <c r="X5" s="23"/>
      <c r="Y5" s="24"/>
      <c r="Z5" s="40" t="s">
        <v>13</v>
      </c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7"/>
      <c r="BC5" s="34" t="s">
        <v>14</v>
      </c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6"/>
      <c r="BO5" s="26" t="s">
        <v>15</v>
      </c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8"/>
    </row>
    <row r="6" spans="1:82" s="1" customFormat="1" ht="25.05" customHeight="1" x14ac:dyDescent="0.45">
      <c r="A6" s="49" t="s">
        <v>16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2"/>
      <c r="N6" s="49" t="s">
        <v>17</v>
      </c>
      <c r="O6" s="50"/>
      <c r="P6" s="35"/>
      <c r="Q6" s="35"/>
      <c r="R6" s="35"/>
      <c r="S6" s="35"/>
      <c r="T6" s="35"/>
      <c r="U6" s="35"/>
      <c r="V6" s="35"/>
      <c r="W6" s="35"/>
      <c r="X6" s="35"/>
      <c r="Y6" s="36"/>
      <c r="Z6" s="22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4"/>
      <c r="BC6" s="34" t="s">
        <v>18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6"/>
      <c r="BO6" s="26" t="s">
        <v>19</v>
      </c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8"/>
    </row>
    <row r="7" spans="1:82" ht="15" customHeight="1" x14ac:dyDescent="0.45">
      <c r="A7" s="13"/>
      <c r="B7" s="13"/>
      <c r="C7" s="13"/>
      <c r="D7" s="13"/>
      <c r="E7" s="13"/>
      <c r="F7" s="13"/>
      <c r="G7" s="14"/>
      <c r="H7" s="14"/>
      <c r="I7" s="14"/>
      <c r="J7" s="14"/>
      <c r="K7" s="14"/>
      <c r="L7" s="14"/>
      <c r="M7" s="14"/>
      <c r="N7" s="14"/>
      <c r="O7" s="14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4"/>
      <c r="AD7" s="3"/>
      <c r="AE7" s="3"/>
      <c r="AF7" s="3"/>
      <c r="CD7" s="6"/>
    </row>
    <row r="8" spans="1:82" ht="15" customHeight="1" x14ac:dyDescent="0.45">
      <c r="A8" s="13"/>
      <c r="B8" s="13"/>
      <c r="C8" s="13"/>
      <c r="D8" s="13"/>
      <c r="E8" s="13"/>
      <c r="F8" s="13"/>
      <c r="G8" s="14"/>
      <c r="H8" s="14"/>
      <c r="I8" s="14"/>
      <c r="J8" s="14"/>
      <c r="K8" s="14"/>
      <c r="L8" s="14"/>
      <c r="M8" s="14"/>
      <c r="N8" s="14"/>
      <c r="O8" s="14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4"/>
      <c r="AD8" s="3"/>
      <c r="AE8" s="3"/>
      <c r="AF8" s="3"/>
      <c r="CD8" s="6"/>
    </row>
    <row r="9" spans="1:82" ht="15" customHeight="1" x14ac:dyDescent="0.45">
      <c r="A9" s="13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4"/>
      <c r="AD9" s="3"/>
      <c r="AE9" s="3"/>
      <c r="AF9" s="3"/>
      <c r="CD9" s="6"/>
    </row>
    <row r="10" spans="1:82" ht="15" customHeight="1" x14ac:dyDescent="0.45">
      <c r="A10" s="13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4"/>
      <c r="AD10" s="3"/>
      <c r="AE10" s="3"/>
      <c r="AF10" s="3"/>
      <c r="CD10" s="6"/>
    </row>
    <row r="11" spans="1:82" ht="15" customHeight="1" x14ac:dyDescent="0.45">
      <c r="A11" s="13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4"/>
      <c r="AD11" s="3"/>
      <c r="AE11" s="3"/>
      <c r="AF11" s="3"/>
      <c r="CD11" s="6"/>
    </row>
    <row r="12" spans="1:82" ht="15" customHeight="1" x14ac:dyDescent="0.45">
      <c r="A12" s="13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4"/>
      <c r="AD12" s="3"/>
      <c r="AE12" s="3"/>
      <c r="AF12" s="3"/>
      <c r="CD12" s="6"/>
    </row>
    <row r="13" spans="1:82" ht="15" customHeight="1" x14ac:dyDescent="0.45">
      <c r="A13" s="13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4"/>
      <c r="AD13" s="3"/>
      <c r="AE13" s="3"/>
      <c r="AF13" s="3"/>
      <c r="CD13" s="6"/>
    </row>
    <row r="14" spans="1:82" ht="15" customHeight="1" x14ac:dyDescent="0.45">
      <c r="A14" s="13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4"/>
      <c r="AD14" s="3"/>
      <c r="AE14" s="3"/>
      <c r="AF14" s="3"/>
      <c r="CD14" s="6"/>
    </row>
    <row r="15" spans="1:82" ht="15" customHeight="1" x14ac:dyDescent="0.45">
      <c r="A15" s="13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4"/>
      <c r="AD15" s="3"/>
      <c r="AE15" s="3"/>
      <c r="AF15" s="3"/>
      <c r="CD15" s="6"/>
    </row>
    <row r="16" spans="1:82" ht="15" customHeight="1" x14ac:dyDescent="0.45">
      <c r="A16" s="13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4"/>
      <c r="AD16" s="3"/>
      <c r="AE16" s="3"/>
      <c r="AF16" s="3"/>
      <c r="CD16" s="6"/>
    </row>
    <row r="17" spans="1:82" ht="15" customHeight="1" x14ac:dyDescent="0.45">
      <c r="A17" s="13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4"/>
      <c r="AD17" s="3"/>
      <c r="AE17" s="3"/>
      <c r="AF17" s="3"/>
      <c r="CD17" s="6"/>
    </row>
    <row r="18" spans="1:82" ht="15" customHeight="1" x14ac:dyDescent="0.45">
      <c r="A18" s="13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4"/>
      <c r="AD18" s="3"/>
      <c r="AE18" s="3"/>
      <c r="AF18" s="3"/>
      <c r="CD18" s="6"/>
    </row>
    <row r="19" spans="1:82" ht="15" customHeight="1" x14ac:dyDescent="0.45">
      <c r="A19" s="13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4"/>
      <c r="AD19" s="3"/>
      <c r="AE19" s="3"/>
      <c r="AF19" s="3"/>
      <c r="CD19" s="6"/>
    </row>
    <row r="20" spans="1:82" ht="15" customHeight="1" x14ac:dyDescent="0.45">
      <c r="A20" s="13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4"/>
      <c r="AD20" s="3"/>
      <c r="AE20" s="3"/>
      <c r="AF20" s="3"/>
      <c r="CD20" s="6"/>
    </row>
    <row r="21" spans="1:82" ht="15" customHeight="1" x14ac:dyDescent="0.45">
      <c r="A21" s="13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3"/>
      <c r="Q21" s="3"/>
      <c r="R21" s="51" t="s">
        <v>20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7"/>
      <c r="AF21" s="51" t="s">
        <v>21</v>
      </c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7"/>
      <c r="AT21" s="51" t="s">
        <v>22</v>
      </c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7"/>
    </row>
    <row r="22" spans="1:82" ht="15" customHeight="1" x14ac:dyDescent="0.45">
      <c r="A22" s="13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3"/>
      <c r="Q22" s="3"/>
      <c r="R22" s="18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1"/>
      <c r="AF22" s="18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1"/>
      <c r="AT22" s="18"/>
      <c r="AU22" s="20"/>
      <c r="AV22" s="20"/>
      <c r="AW22" s="19"/>
      <c r="AX22" s="19"/>
      <c r="AY22" s="19"/>
      <c r="AZ22" s="19"/>
      <c r="BA22" s="19"/>
      <c r="BB22" s="20"/>
      <c r="BC22" s="20"/>
      <c r="BD22" s="20"/>
      <c r="BE22" s="20"/>
      <c r="BF22" s="20"/>
      <c r="BG22" s="21"/>
    </row>
    <row r="23" spans="1:82" ht="15" customHeight="1" x14ac:dyDescent="0.45">
      <c r="A23" s="13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3"/>
      <c r="Q23" s="3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4"/>
      <c r="AF23" s="22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4"/>
      <c r="AT23" s="22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4"/>
    </row>
    <row r="24" spans="1:82" ht="15" customHeight="1" x14ac:dyDescent="0.45">
      <c r="A24" s="13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3"/>
      <c r="Q24" s="3"/>
      <c r="R24" s="45" t="s">
        <v>12</v>
      </c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7"/>
      <c r="AF24" s="33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7"/>
      <c r="AT24" s="33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7"/>
    </row>
    <row r="25" spans="1:82" ht="15" customHeight="1" x14ac:dyDescent="0.45">
      <c r="A25" s="13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3"/>
      <c r="Q25" s="3"/>
      <c r="R25" s="18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1"/>
      <c r="AF25" s="18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1"/>
      <c r="AT25" s="18"/>
      <c r="AU25" s="20"/>
      <c r="AV25" s="20"/>
      <c r="AW25" s="19"/>
      <c r="AX25" s="19"/>
      <c r="AY25" s="19"/>
      <c r="AZ25" s="19"/>
      <c r="BA25" s="19"/>
      <c r="BB25" s="20"/>
      <c r="BC25" s="20"/>
      <c r="BD25" s="20"/>
      <c r="BE25" s="20"/>
      <c r="BF25" s="20"/>
      <c r="BG25" s="21"/>
    </row>
    <row r="26" spans="1:82" ht="15" customHeight="1" x14ac:dyDescent="0.45">
      <c r="A26" s="13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3"/>
      <c r="Q26" s="3"/>
      <c r="R26" s="22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4"/>
      <c r="AF26" s="22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4"/>
      <c r="AT26" s="22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4"/>
    </row>
    <row r="27" spans="1:82" ht="15" customHeight="1" x14ac:dyDescent="0.45">
      <c r="A27" s="13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3"/>
      <c r="Q27" s="3"/>
      <c r="R27" s="33" t="str">
        <f>"Fecha :"&amp;BO3</f>
        <v>Fecha :JULIO 23 DEL 2026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7"/>
      <c r="AF27" s="33" t="str">
        <f>"Fecha :"&amp;CC1</f>
        <v>Fecha :JULIO 23 DEL 2026</v>
      </c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7"/>
      <c r="AT27" s="33" t="str">
        <f>"Fecha :"&amp;CC2</f>
        <v>Fecha :JULIO 24 DEL 2026</v>
      </c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7"/>
    </row>
    <row r="28" spans="1:82" ht="15" customHeight="1" x14ac:dyDescent="0.45">
      <c r="A28" s="13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3"/>
      <c r="Q28" s="3"/>
      <c r="R28" s="18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1"/>
      <c r="AF28" s="18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1"/>
      <c r="AT28" s="18"/>
      <c r="AU28" s="20"/>
      <c r="AV28" s="20"/>
      <c r="AW28" s="19"/>
      <c r="AX28" s="19"/>
      <c r="AY28" s="19"/>
      <c r="AZ28" s="19"/>
      <c r="BA28" s="19"/>
      <c r="BB28" s="20"/>
      <c r="BC28" s="20"/>
      <c r="BD28" s="20"/>
      <c r="BE28" s="20"/>
      <c r="BF28" s="20"/>
      <c r="BG28" s="21"/>
    </row>
    <row r="29" spans="1:82" ht="15" customHeight="1" x14ac:dyDescent="0.45">
      <c r="A29" s="13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3"/>
      <c r="Q29" s="3"/>
      <c r="R29" s="22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4"/>
      <c r="AF29" s="22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4"/>
      <c r="AT29" s="22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4"/>
    </row>
    <row r="30" spans="1:82" ht="15" customHeight="1" x14ac:dyDescent="0.45">
      <c r="A30" s="13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4"/>
      <c r="AD30" s="3"/>
      <c r="AE30" s="3"/>
      <c r="AF30" s="3"/>
    </row>
    <row r="31" spans="1:82" ht="15" customHeight="1" x14ac:dyDescent="0.45">
      <c r="A31" s="13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4"/>
      <c r="AD31" s="3"/>
      <c r="AE31" s="3"/>
      <c r="AF31" s="3"/>
    </row>
    <row r="32" spans="1:82" ht="15" customHeight="1" x14ac:dyDescent="0.45">
      <c r="A32" s="13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4"/>
      <c r="AD32" s="3"/>
      <c r="AE32" s="3"/>
      <c r="AF32" s="3"/>
    </row>
    <row r="33" spans="1:78" ht="15" customHeight="1" x14ac:dyDescent="0.45">
      <c r="A33" s="13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4"/>
      <c r="AD33" s="3"/>
      <c r="AE33" s="3"/>
      <c r="AF33" s="3"/>
    </row>
    <row r="34" spans="1:78" ht="15" customHeight="1" x14ac:dyDescent="0.45">
      <c r="A34" s="13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4"/>
      <c r="AD34" s="3"/>
      <c r="AE34" s="3"/>
      <c r="AF34" s="3"/>
    </row>
    <row r="35" spans="1:78" ht="15" customHeight="1" x14ac:dyDescent="0.45">
      <c r="A35" s="13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4"/>
      <c r="AD35" s="3"/>
      <c r="AE35" s="3"/>
      <c r="AF35" s="3"/>
    </row>
    <row r="36" spans="1:78" ht="15" customHeight="1" x14ac:dyDescent="0.45">
      <c r="A36" s="13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4"/>
      <c r="AD36" s="3"/>
      <c r="AE36" s="3"/>
      <c r="AF36" s="3"/>
      <c r="BK36" s="46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</row>
    <row r="37" spans="1:78" ht="15" customHeight="1" x14ac:dyDescent="0.45">
      <c r="A37" s="13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4"/>
      <c r="AD37" s="3"/>
      <c r="AE37" s="3"/>
      <c r="AF37" s="3"/>
    </row>
    <row r="38" spans="1:78" ht="15" customHeight="1" x14ac:dyDescent="0.45">
      <c r="A38" s="13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4"/>
      <c r="AD38" s="3"/>
      <c r="AE38" s="3"/>
      <c r="AF38" s="3"/>
    </row>
    <row r="39" spans="1:78" ht="15" customHeight="1" x14ac:dyDescent="0.45">
      <c r="A39" s="13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53" t="s">
        <v>23</v>
      </c>
      <c r="P39" s="16"/>
      <c r="Q39" s="16"/>
      <c r="R39" s="16"/>
      <c r="S39" s="16"/>
      <c r="T39" s="16"/>
      <c r="U39" s="17"/>
      <c r="V39" s="54" t="s">
        <v>24</v>
      </c>
      <c r="W39" s="16"/>
      <c r="X39" s="16"/>
      <c r="Y39" s="16"/>
      <c r="Z39" s="16"/>
      <c r="AA39" s="16"/>
      <c r="AB39" s="17"/>
      <c r="AC39" s="62" t="s">
        <v>25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7"/>
      <c r="AP39" s="54" t="s">
        <v>26</v>
      </c>
      <c r="AQ39" s="16"/>
      <c r="AR39" s="16"/>
      <c r="AS39" s="16"/>
      <c r="AT39" s="16"/>
      <c r="AU39" s="16"/>
      <c r="AV39" s="17"/>
      <c r="AW39" s="54" t="s">
        <v>27</v>
      </c>
      <c r="AX39" s="16"/>
      <c r="AY39" s="16"/>
      <c r="AZ39" s="16"/>
      <c r="BA39" s="16"/>
      <c r="BB39" s="16"/>
      <c r="BC39" s="17"/>
      <c r="BD39" s="54" t="s">
        <v>28</v>
      </c>
      <c r="BE39" s="16"/>
      <c r="BF39" s="16"/>
      <c r="BG39" s="16"/>
      <c r="BH39" s="16"/>
      <c r="BI39" s="16"/>
      <c r="BJ39" s="17"/>
    </row>
    <row r="40" spans="1:78" ht="15" customHeight="1" x14ac:dyDescent="0.45">
      <c r="A40" s="13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31"/>
      <c r="P40" s="20"/>
      <c r="Q40" s="20"/>
      <c r="R40" s="20"/>
      <c r="S40" s="20"/>
      <c r="T40" s="20"/>
      <c r="U40" s="21"/>
      <c r="V40" s="18"/>
      <c r="W40" s="20"/>
      <c r="X40" s="20"/>
      <c r="Y40" s="20"/>
      <c r="Z40" s="20"/>
      <c r="AA40" s="20"/>
      <c r="AB40" s="21"/>
      <c r="AC40" s="18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1"/>
      <c r="AP40" s="18"/>
      <c r="AQ40" s="20"/>
      <c r="AR40" s="20"/>
      <c r="AS40" s="20"/>
      <c r="AT40" s="20"/>
      <c r="AU40" s="20"/>
      <c r="AV40" s="21"/>
      <c r="AW40" s="18"/>
      <c r="AX40" s="19"/>
      <c r="AY40" s="19"/>
      <c r="AZ40" s="19"/>
      <c r="BA40" s="19"/>
      <c r="BB40" s="20"/>
      <c r="BC40" s="21"/>
      <c r="BD40" s="18"/>
      <c r="BE40" s="20"/>
      <c r="BF40" s="20"/>
      <c r="BG40" s="20"/>
      <c r="BH40" s="20"/>
      <c r="BI40" s="20"/>
      <c r="BJ40" s="21"/>
    </row>
    <row r="41" spans="1:78" ht="15" customHeight="1" x14ac:dyDescent="0.45">
      <c r="A41" s="13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32"/>
      <c r="P41" s="23"/>
      <c r="Q41" s="23"/>
      <c r="R41" s="23"/>
      <c r="S41" s="23"/>
      <c r="T41" s="23"/>
      <c r="U41" s="24"/>
      <c r="V41" s="22"/>
      <c r="W41" s="23"/>
      <c r="X41" s="23"/>
      <c r="Y41" s="23"/>
      <c r="Z41" s="23"/>
      <c r="AA41" s="23"/>
      <c r="AB41" s="24"/>
      <c r="AC41" s="22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4"/>
      <c r="AP41" s="22"/>
      <c r="AQ41" s="23"/>
      <c r="AR41" s="23"/>
      <c r="AS41" s="23"/>
      <c r="AT41" s="23"/>
      <c r="AU41" s="23"/>
      <c r="AV41" s="24"/>
      <c r="AW41" s="22"/>
      <c r="AX41" s="23"/>
      <c r="AY41" s="23"/>
      <c r="AZ41" s="23"/>
      <c r="BA41" s="23"/>
      <c r="BB41" s="23"/>
      <c r="BC41" s="24"/>
      <c r="BD41" s="22"/>
      <c r="BE41" s="23"/>
      <c r="BF41" s="23"/>
      <c r="BG41" s="23"/>
      <c r="BH41" s="23"/>
      <c r="BI41" s="23"/>
      <c r="BJ41" s="24"/>
    </row>
    <row r="42" spans="1:78" ht="15" customHeight="1" x14ac:dyDescent="0.45">
      <c r="A42" s="13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30" t="s">
        <v>6</v>
      </c>
      <c r="P42" s="16"/>
      <c r="Q42" s="16"/>
      <c r="R42" s="16"/>
      <c r="S42" s="16"/>
      <c r="T42" s="16"/>
      <c r="U42" s="17"/>
      <c r="V42" s="47" t="s">
        <v>12</v>
      </c>
      <c r="W42" s="16"/>
      <c r="X42" s="16"/>
      <c r="Y42" s="16"/>
      <c r="Z42" s="16"/>
      <c r="AA42" s="16"/>
      <c r="AB42" s="17"/>
      <c r="AC42" s="61" t="s">
        <v>29</v>
      </c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7"/>
      <c r="AP42" s="15" t="str">
        <f>BO3</f>
        <v>JULIO 23 DEL 2026</v>
      </c>
      <c r="AQ42" s="16"/>
      <c r="AR42" s="16"/>
      <c r="AS42" s="16"/>
      <c r="AT42" s="16"/>
      <c r="AU42" s="16"/>
      <c r="AV42" s="17"/>
      <c r="AW42" s="15" t="str">
        <f>AT27</f>
        <v>Fecha :JULIO 24 DEL 2026</v>
      </c>
      <c r="AX42" s="16"/>
      <c r="AY42" s="16"/>
      <c r="AZ42" s="16"/>
      <c r="BA42" s="16"/>
      <c r="BB42" s="16"/>
      <c r="BC42" s="17"/>
      <c r="BD42" s="60" t="str">
        <f>BO5</f>
        <v>F.NAVIA</v>
      </c>
      <c r="BE42" s="16"/>
      <c r="BF42" s="16"/>
      <c r="BG42" s="16"/>
      <c r="BH42" s="16"/>
      <c r="BI42" s="16"/>
      <c r="BJ42" s="17"/>
    </row>
    <row r="43" spans="1:78" ht="15" customHeight="1" x14ac:dyDescent="0.45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31"/>
      <c r="P43" s="20"/>
      <c r="Q43" s="20"/>
      <c r="R43" s="20"/>
      <c r="S43" s="20"/>
      <c r="T43" s="20"/>
      <c r="U43" s="21"/>
      <c r="V43" s="18"/>
      <c r="W43" s="20"/>
      <c r="X43" s="20"/>
      <c r="Y43" s="20"/>
      <c r="Z43" s="20"/>
      <c r="AA43" s="20"/>
      <c r="AB43" s="21"/>
      <c r="AC43" s="18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1"/>
      <c r="AP43" s="18"/>
      <c r="AQ43" s="20"/>
      <c r="AR43" s="20"/>
      <c r="AS43" s="20"/>
      <c r="AT43" s="20"/>
      <c r="AU43" s="20"/>
      <c r="AV43" s="21"/>
      <c r="AW43" s="18"/>
      <c r="AX43" s="19"/>
      <c r="AY43" s="19"/>
      <c r="AZ43" s="19"/>
      <c r="BA43" s="19"/>
      <c r="BB43" s="20"/>
      <c r="BC43" s="21"/>
      <c r="BD43" s="18"/>
      <c r="BE43" s="20"/>
      <c r="BF43" s="20"/>
      <c r="BG43" s="20"/>
      <c r="BH43" s="20"/>
      <c r="BI43" s="20"/>
      <c r="BJ43" s="21"/>
      <c r="BP43" s="46"/>
      <c r="BQ43" s="20"/>
      <c r="BR43" s="20"/>
      <c r="BS43" s="20"/>
      <c r="BT43" s="20"/>
      <c r="BU43" s="20"/>
      <c r="BV43" s="20"/>
    </row>
    <row r="44" spans="1:78" ht="15" customHeight="1" x14ac:dyDescent="0.45">
      <c r="A44" s="13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32"/>
      <c r="P44" s="23"/>
      <c r="Q44" s="23"/>
      <c r="R44" s="23"/>
      <c r="S44" s="23"/>
      <c r="T44" s="23"/>
      <c r="U44" s="24"/>
      <c r="V44" s="22"/>
      <c r="W44" s="23"/>
      <c r="X44" s="23"/>
      <c r="Y44" s="23"/>
      <c r="Z44" s="23"/>
      <c r="AA44" s="23"/>
      <c r="AB44" s="24"/>
      <c r="AC44" s="22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4"/>
      <c r="AP44" s="22"/>
      <c r="AQ44" s="23"/>
      <c r="AR44" s="23"/>
      <c r="AS44" s="23"/>
      <c r="AT44" s="23"/>
      <c r="AU44" s="23"/>
      <c r="AV44" s="24"/>
      <c r="AW44" s="22"/>
      <c r="AX44" s="23"/>
      <c r="AY44" s="23"/>
      <c r="AZ44" s="23"/>
      <c r="BA44" s="23"/>
      <c r="BB44" s="23"/>
      <c r="BC44" s="24"/>
      <c r="BD44" s="22"/>
      <c r="BE44" s="23"/>
      <c r="BF44" s="23"/>
      <c r="BG44" s="23"/>
      <c r="BH44" s="23"/>
      <c r="BI44" s="23"/>
      <c r="BJ44" s="24"/>
    </row>
    <row r="45" spans="1:78" ht="15" customHeight="1" x14ac:dyDescent="0.45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55"/>
      <c r="P45" s="16"/>
      <c r="Q45" s="16"/>
      <c r="R45" s="16"/>
      <c r="S45" s="16"/>
      <c r="T45" s="16"/>
      <c r="U45" s="17"/>
      <c r="V45" s="25"/>
      <c r="W45" s="16"/>
      <c r="X45" s="16"/>
      <c r="Y45" s="16"/>
      <c r="Z45" s="16"/>
      <c r="AA45" s="16"/>
      <c r="AB45" s="17"/>
      <c r="AC45" s="37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7"/>
      <c r="AP45" s="25"/>
      <c r="AQ45" s="16"/>
      <c r="AR45" s="16"/>
      <c r="AS45" s="16"/>
      <c r="AT45" s="16"/>
      <c r="AU45" s="16"/>
      <c r="AV45" s="17"/>
      <c r="AW45" s="25"/>
      <c r="AX45" s="16"/>
      <c r="AY45" s="16"/>
      <c r="AZ45" s="16"/>
      <c r="BA45" s="16"/>
      <c r="BB45" s="16"/>
      <c r="BC45" s="17"/>
      <c r="BD45" s="25"/>
      <c r="BE45" s="16"/>
      <c r="BF45" s="16"/>
      <c r="BG45" s="16"/>
      <c r="BH45" s="16"/>
      <c r="BI45" s="16"/>
      <c r="BJ45" s="17"/>
    </row>
    <row r="46" spans="1:78" ht="15" customHeight="1" x14ac:dyDescent="0.45">
      <c r="A46" s="13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31"/>
      <c r="P46" s="20"/>
      <c r="Q46" s="20"/>
      <c r="R46" s="20"/>
      <c r="S46" s="20"/>
      <c r="T46" s="20"/>
      <c r="U46" s="21"/>
      <c r="V46" s="18"/>
      <c r="W46" s="20"/>
      <c r="X46" s="20"/>
      <c r="Y46" s="20"/>
      <c r="Z46" s="20"/>
      <c r="AA46" s="20"/>
      <c r="AB46" s="21"/>
      <c r="AC46" s="18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1"/>
      <c r="AP46" s="18"/>
      <c r="AQ46" s="20"/>
      <c r="AR46" s="20"/>
      <c r="AS46" s="20"/>
      <c r="AT46" s="20"/>
      <c r="AU46" s="20"/>
      <c r="AV46" s="21"/>
      <c r="AW46" s="18"/>
      <c r="AX46" s="19"/>
      <c r="AY46" s="19"/>
      <c r="AZ46" s="19"/>
      <c r="BA46" s="19"/>
      <c r="BB46" s="20"/>
      <c r="BC46" s="21"/>
      <c r="BD46" s="18"/>
      <c r="BE46" s="20"/>
      <c r="BF46" s="20"/>
      <c r="BG46" s="20"/>
      <c r="BH46" s="20"/>
      <c r="BI46" s="20"/>
      <c r="BJ46" s="21"/>
    </row>
    <row r="47" spans="1:78" ht="15" customHeight="1" x14ac:dyDescent="0.45">
      <c r="A47" s="13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32"/>
      <c r="P47" s="23"/>
      <c r="Q47" s="23"/>
      <c r="R47" s="23"/>
      <c r="S47" s="23"/>
      <c r="T47" s="23"/>
      <c r="U47" s="24"/>
      <c r="V47" s="22"/>
      <c r="W47" s="23"/>
      <c r="X47" s="23"/>
      <c r="Y47" s="23"/>
      <c r="Z47" s="23"/>
      <c r="AA47" s="23"/>
      <c r="AB47" s="24"/>
      <c r="AC47" s="22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4"/>
      <c r="AP47" s="22"/>
      <c r="AQ47" s="23"/>
      <c r="AR47" s="23"/>
      <c r="AS47" s="23"/>
      <c r="AT47" s="23"/>
      <c r="AU47" s="23"/>
      <c r="AV47" s="24"/>
      <c r="AW47" s="22"/>
      <c r="AX47" s="23"/>
      <c r="AY47" s="23"/>
      <c r="AZ47" s="23"/>
      <c r="BA47" s="23"/>
      <c r="BB47" s="23"/>
      <c r="BC47" s="24"/>
      <c r="BD47" s="22"/>
      <c r="BE47" s="23"/>
      <c r="BF47" s="23"/>
      <c r="BG47" s="23"/>
      <c r="BH47" s="23"/>
      <c r="BI47" s="23"/>
      <c r="BJ47" s="24"/>
    </row>
    <row r="48" spans="1:78" ht="15" customHeight="1" x14ac:dyDescent="0.4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38"/>
      <c r="P48" s="20"/>
      <c r="Q48" s="20"/>
      <c r="R48" s="20"/>
      <c r="S48" s="20"/>
      <c r="T48" s="20"/>
      <c r="U48" s="20"/>
      <c r="V48" s="29"/>
      <c r="W48" s="20"/>
      <c r="X48" s="20"/>
      <c r="Y48" s="20"/>
      <c r="Z48" s="20"/>
      <c r="AA48" s="20"/>
      <c r="AB48" s="20"/>
      <c r="AC48" s="29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9"/>
      <c r="AQ48" s="20"/>
      <c r="AR48" s="20"/>
      <c r="AS48" s="20"/>
      <c r="AT48" s="20"/>
      <c r="AU48" s="20"/>
      <c r="AV48" s="20"/>
      <c r="AW48" s="29"/>
      <c r="AX48" s="19"/>
      <c r="AY48" s="19"/>
      <c r="AZ48" s="19"/>
      <c r="BA48" s="19"/>
      <c r="BB48" s="20"/>
      <c r="BC48" s="20"/>
      <c r="BD48" s="29"/>
      <c r="BE48" s="20"/>
      <c r="BF48" s="20"/>
      <c r="BG48" s="20"/>
      <c r="BH48" s="20"/>
      <c r="BI48" s="20"/>
      <c r="BJ48" s="20"/>
    </row>
    <row r="49" spans="1:70" ht="15" customHeight="1" x14ac:dyDescent="0.4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39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19"/>
      <c r="AX49" s="19"/>
      <c r="AY49" s="19"/>
      <c r="AZ49" s="19"/>
      <c r="BA49" s="19"/>
      <c r="BB49" s="20"/>
      <c r="BC49" s="20"/>
      <c r="BD49" s="20"/>
      <c r="BE49" s="20"/>
      <c r="BF49" s="20"/>
      <c r="BG49" s="20"/>
      <c r="BH49" s="20"/>
      <c r="BI49" s="20"/>
      <c r="BJ49" s="20"/>
    </row>
    <row r="50" spans="1:70" ht="15" customHeight="1" x14ac:dyDescent="0.4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39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19"/>
      <c r="AX50" s="19"/>
      <c r="AY50" s="19"/>
      <c r="AZ50" s="19"/>
      <c r="BA50" s="19"/>
      <c r="BB50" s="20"/>
      <c r="BC50" s="20"/>
      <c r="BD50" s="20"/>
      <c r="BE50" s="20"/>
      <c r="BF50" s="20"/>
      <c r="BG50" s="20"/>
      <c r="BH50" s="20"/>
      <c r="BI50" s="20"/>
      <c r="BJ50" s="20"/>
    </row>
    <row r="51" spans="1:70" ht="15" x14ac:dyDescent="0.4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</row>
    <row r="52" spans="1:70" ht="15" customHeight="1" x14ac:dyDescent="0.4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BH52" s="7"/>
      <c r="BI52" s="7"/>
      <c r="BJ52" s="7"/>
      <c r="BK52" s="7"/>
      <c r="BL52" s="7"/>
      <c r="BM52" s="8"/>
      <c r="BN52" s="8"/>
      <c r="BO52" s="8"/>
      <c r="BP52" s="8"/>
      <c r="BQ52" s="8"/>
      <c r="BR52" s="8"/>
    </row>
    <row r="53" spans="1:70" ht="15" x14ac:dyDescent="0.4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 spans="1:70" ht="15" customHeight="1" x14ac:dyDescent="0.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10"/>
      <c r="AQ54" s="10"/>
      <c r="AR54" s="10"/>
      <c r="AW54" s="2"/>
      <c r="AX54" s="2"/>
      <c r="AY54" s="2"/>
      <c r="AZ54" s="2"/>
      <c r="BA54" s="2"/>
    </row>
  </sheetData>
  <mergeCells count="54">
    <mergeCell ref="Z3:BB4"/>
    <mergeCell ref="BO6:BZ6"/>
    <mergeCell ref="BD48:BJ50"/>
    <mergeCell ref="V39:AB41"/>
    <mergeCell ref="AT21:BG23"/>
    <mergeCell ref="BD39:BJ41"/>
    <mergeCell ref="A6:M6"/>
    <mergeCell ref="V48:AB50"/>
    <mergeCell ref="BC1:BN1"/>
    <mergeCell ref="O39:U41"/>
    <mergeCell ref="AW39:BC41"/>
    <mergeCell ref="AW48:BC50"/>
    <mergeCell ref="AP39:AV41"/>
    <mergeCell ref="R27:AE29"/>
    <mergeCell ref="O45:U47"/>
    <mergeCell ref="A1:M5"/>
    <mergeCell ref="BD42:BJ44"/>
    <mergeCell ref="AC42:AO44"/>
    <mergeCell ref="BC6:BN6"/>
    <mergeCell ref="AF21:AS23"/>
    <mergeCell ref="BC2:BN2"/>
    <mergeCell ref="AC39:AO41"/>
    <mergeCell ref="AP48:AV50"/>
    <mergeCell ref="O42:U44"/>
    <mergeCell ref="AF27:AS29"/>
    <mergeCell ref="BC3:BN3"/>
    <mergeCell ref="AT27:BG29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R24:AE26"/>
    <mergeCell ref="BK36:BZ36"/>
    <mergeCell ref="AW42:BC44"/>
    <mergeCell ref="V45:AB47"/>
    <mergeCell ref="BO2:BZ2"/>
    <mergeCell ref="AP45:AV47"/>
    <mergeCell ref="AW45:BC47"/>
    <mergeCell ref="BO3:BZ3"/>
    <mergeCell ref="BO5:BZ5"/>
    <mergeCell ref="V42:AB44"/>
    <mergeCell ref="Z1:BB2"/>
    <mergeCell ref="BC4:BN4"/>
    <mergeCell ref="N6:Y6"/>
    <mergeCell ref="R21:AE23"/>
    <mergeCell ref="AP42:AV44"/>
    <mergeCell ref="BO1:BZ1"/>
    <mergeCell ref="BO4:BZ4"/>
    <mergeCell ref="BP43:BV43"/>
  </mergeCells>
  <printOptions horizontalCentered="1" verticalCentered="1"/>
  <pageMargins left="0.19685039370078741" right="0.19685039370078741" top="0.39370078740157483" bottom="0.39370078740157483" header="3.937007874015748E-2" footer="3.937007874015748E-2"/>
  <pageSetup scale="5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44"/>
  <sheetViews>
    <sheetView tabSelected="1" view="pageBreakPreview" zoomScale="25" zoomScaleNormal="40" zoomScaleSheetLayoutView="25" workbookViewId="0">
      <selection activeCell="BL12" sqref="BL12"/>
    </sheetView>
  </sheetViews>
  <sheetFormatPr baseColWidth="10" defaultColWidth="35.59765625" defaultRowHeight="30" customHeight="1" x14ac:dyDescent="0.75"/>
  <cols>
    <col min="1" max="16384" width="35.59765625" style="69"/>
  </cols>
  <sheetData>
    <row r="1" spans="1:15" ht="30" customHeight="1" x14ac:dyDescent="0.75">
      <c r="A1" s="63"/>
      <c r="B1" s="64"/>
      <c r="C1" s="63" t="str">
        <f>PORTADA!Z1</f>
        <v>DISEÑO DE INGENIERÍA</v>
      </c>
      <c r="D1" s="65"/>
      <c r="E1" s="65"/>
      <c r="F1" s="65"/>
      <c r="G1" s="65"/>
      <c r="H1" s="65"/>
      <c r="I1" s="65"/>
      <c r="J1" s="65"/>
      <c r="K1" s="65"/>
      <c r="L1" s="66"/>
      <c r="M1" s="67" t="s">
        <v>1</v>
      </c>
      <c r="N1" s="68" t="str">
        <f>PORTADA!BO1</f>
        <v>P2437-HV-CAL-001</v>
      </c>
      <c r="O1" s="66"/>
    </row>
    <row r="2" spans="1:15" ht="30" customHeight="1" x14ac:dyDescent="0.75">
      <c r="A2" s="70"/>
      <c r="B2" s="70"/>
      <c r="C2" s="63" t="str">
        <f>PORTADA!Z3</f>
        <v>SISTEMA HVAC LABORATORIO BRINSA</v>
      </c>
      <c r="D2" s="71"/>
      <c r="E2" s="71"/>
      <c r="F2" s="71"/>
      <c r="G2" s="71"/>
      <c r="H2" s="71"/>
      <c r="I2" s="71"/>
      <c r="J2" s="71"/>
      <c r="K2" s="71"/>
      <c r="L2" s="72"/>
      <c r="M2" s="67" t="s">
        <v>5</v>
      </c>
      <c r="N2" s="68" t="str">
        <f>PORTADA!BO2</f>
        <v>CERO (0)</v>
      </c>
      <c r="O2" s="66"/>
    </row>
    <row r="3" spans="1:15" ht="30" customHeight="1" x14ac:dyDescent="0.75">
      <c r="A3" s="70"/>
      <c r="B3" s="70"/>
      <c r="C3" s="73"/>
      <c r="D3" s="74"/>
      <c r="E3" s="74"/>
      <c r="F3" s="74"/>
      <c r="G3" s="74"/>
      <c r="H3" s="74"/>
      <c r="I3" s="74"/>
      <c r="J3" s="74"/>
      <c r="K3" s="74"/>
      <c r="L3" s="75"/>
      <c r="M3" s="67" t="s">
        <v>10</v>
      </c>
      <c r="N3" s="68" t="str">
        <f>PORTADA!BO3</f>
        <v>JULIO 23 DEL 2026</v>
      </c>
      <c r="O3" s="66"/>
    </row>
    <row r="4" spans="1:15" ht="30" customHeight="1" x14ac:dyDescent="0.75">
      <c r="A4" s="70"/>
      <c r="B4" s="70"/>
      <c r="C4" s="63" t="str">
        <f>PORTADA!Z5</f>
        <v>MEMORIA DE CÁLCULO DEL SISTEMA DE VENTILACIÓN DEL LABORATORIO</v>
      </c>
      <c r="D4" s="71"/>
      <c r="E4" s="71"/>
      <c r="F4" s="71"/>
      <c r="G4" s="71"/>
      <c r="H4" s="71"/>
      <c r="I4" s="71"/>
      <c r="J4" s="71"/>
      <c r="K4" s="71"/>
      <c r="L4" s="72"/>
      <c r="M4" s="67" t="s">
        <v>11</v>
      </c>
      <c r="N4" s="68" t="str">
        <f>PORTADA!BO4</f>
        <v>J.ARBOLEDA</v>
      </c>
      <c r="O4" s="66"/>
    </row>
    <row r="5" spans="1:15" ht="30" customHeight="1" x14ac:dyDescent="0.75">
      <c r="A5" s="76"/>
      <c r="B5" s="76"/>
      <c r="C5" s="77"/>
      <c r="D5" s="78"/>
      <c r="E5" s="78"/>
      <c r="F5" s="78"/>
      <c r="G5" s="78"/>
      <c r="H5" s="78"/>
      <c r="I5" s="78"/>
      <c r="J5" s="78"/>
      <c r="K5" s="78"/>
      <c r="L5" s="79"/>
      <c r="M5" s="67" t="s">
        <v>30</v>
      </c>
      <c r="N5" s="68" t="str">
        <f>PORTADA!BO5</f>
        <v>F.NAVIA</v>
      </c>
      <c r="O5" s="66"/>
    </row>
    <row r="6" spans="1:15" ht="30" customHeight="1" x14ac:dyDescent="0.75">
      <c r="A6" s="67" t="s">
        <v>31</v>
      </c>
      <c r="B6" s="80" t="str">
        <f>PORTADA!N6</f>
        <v>P2437</v>
      </c>
      <c r="C6" s="73"/>
      <c r="D6" s="74"/>
      <c r="E6" s="74"/>
      <c r="F6" s="74"/>
      <c r="G6" s="74"/>
      <c r="H6" s="74"/>
      <c r="I6" s="74"/>
      <c r="J6" s="74"/>
      <c r="K6" s="74"/>
      <c r="L6" s="75"/>
      <c r="M6" s="67" t="s">
        <v>18</v>
      </c>
      <c r="N6" s="68" t="str">
        <f>PORTADA!BO6</f>
        <v>H.ROSERO</v>
      </c>
      <c r="O6" s="66"/>
    </row>
    <row r="7" spans="1:15" ht="30" customHeight="1" x14ac:dyDescent="0.75">
      <c r="A7" s="81">
        <v>1</v>
      </c>
      <c r="B7" s="81">
        <v>2</v>
      </c>
      <c r="C7" s="81">
        <v>3</v>
      </c>
      <c r="D7" s="81">
        <v>4</v>
      </c>
      <c r="E7" s="81">
        <v>5</v>
      </c>
      <c r="F7" s="81">
        <v>6</v>
      </c>
      <c r="G7" s="81">
        <v>7</v>
      </c>
      <c r="H7" s="81">
        <v>8</v>
      </c>
      <c r="I7" s="81">
        <v>9</v>
      </c>
      <c r="J7" s="81">
        <v>10</v>
      </c>
      <c r="K7" s="81">
        <v>11</v>
      </c>
      <c r="L7" s="81">
        <v>12</v>
      </c>
      <c r="M7" s="81">
        <v>13</v>
      </c>
      <c r="N7" s="81">
        <v>14</v>
      </c>
      <c r="O7" s="81">
        <v>15</v>
      </c>
    </row>
    <row r="9" spans="1:15" ht="30" customHeight="1" x14ac:dyDescent="0.75">
      <c r="A9" s="82" t="s">
        <v>32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</row>
    <row r="11" spans="1:15" ht="30" customHeight="1" x14ac:dyDescent="0.75">
      <c r="A11" s="82" t="s">
        <v>33</v>
      </c>
      <c r="B11" s="83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</row>
    <row r="12" spans="1:15" ht="30" customHeight="1" x14ac:dyDescent="0.75">
      <c r="A12" s="84" t="s">
        <v>34</v>
      </c>
      <c r="B12" s="84"/>
      <c r="C12" s="84"/>
      <c r="D12" s="84"/>
      <c r="E12" s="84" t="s">
        <v>35</v>
      </c>
      <c r="F12" s="84"/>
      <c r="G12" s="84"/>
      <c r="H12" s="84"/>
      <c r="I12" s="84" t="s">
        <v>36</v>
      </c>
      <c r="J12" s="84"/>
      <c r="K12" s="84"/>
      <c r="L12" s="84"/>
      <c r="M12" s="84" t="s">
        <v>37</v>
      </c>
      <c r="N12" s="84"/>
      <c r="O12" s="84"/>
    </row>
    <row r="13" spans="1:15" ht="30" customHeight="1" x14ac:dyDescent="0.75">
      <c r="A13" s="85" t="s">
        <v>38</v>
      </c>
      <c r="B13" s="86"/>
      <c r="C13" s="86"/>
      <c r="D13" s="86"/>
      <c r="E13" s="85" t="s">
        <v>39</v>
      </c>
      <c r="F13" s="86"/>
      <c r="G13" s="86"/>
      <c r="H13" s="86"/>
      <c r="I13" s="87" t="s">
        <v>40</v>
      </c>
      <c r="J13" s="86"/>
      <c r="K13" s="86"/>
      <c r="L13" s="86"/>
      <c r="M13" s="85" t="s">
        <v>41</v>
      </c>
      <c r="N13" s="86"/>
      <c r="O13" s="86"/>
    </row>
    <row r="14" spans="1:15" ht="30" customHeight="1" x14ac:dyDescent="0.75">
      <c r="A14" s="85" t="s">
        <v>42</v>
      </c>
      <c r="B14" s="86"/>
      <c r="C14" s="86"/>
      <c r="D14" s="86"/>
      <c r="E14" s="85" t="s">
        <v>43</v>
      </c>
      <c r="F14" s="86"/>
      <c r="G14" s="86"/>
      <c r="H14" s="86"/>
      <c r="I14" s="87" t="s">
        <v>40</v>
      </c>
      <c r="J14" s="86"/>
      <c r="K14" s="86"/>
      <c r="L14" s="86"/>
      <c r="M14" s="85" t="s">
        <v>44</v>
      </c>
      <c r="N14" s="86"/>
      <c r="O14" s="86"/>
    </row>
    <row r="15" spans="1:15" ht="30" customHeight="1" x14ac:dyDescent="0.75">
      <c r="A15" s="85" t="s">
        <v>45</v>
      </c>
      <c r="B15" s="86"/>
      <c r="C15" s="86"/>
      <c r="D15" s="86"/>
      <c r="E15" s="85" t="s">
        <v>46</v>
      </c>
      <c r="F15" s="86"/>
      <c r="G15" s="86"/>
      <c r="H15" s="86"/>
      <c r="I15" s="87" t="s">
        <v>47</v>
      </c>
      <c r="J15" s="86"/>
      <c r="K15" s="86"/>
      <c r="L15" s="86"/>
      <c r="M15" s="85" t="s">
        <v>48</v>
      </c>
      <c r="N15" s="86"/>
      <c r="O15" s="86"/>
    </row>
    <row r="16" spans="1:15" ht="30" customHeight="1" x14ac:dyDescent="0.75">
      <c r="A16" s="85" t="s">
        <v>49</v>
      </c>
      <c r="B16" s="86"/>
      <c r="C16" s="86"/>
      <c r="D16" s="86"/>
      <c r="E16" s="85" t="s">
        <v>50</v>
      </c>
      <c r="F16" s="86"/>
      <c r="G16" s="86"/>
      <c r="H16" s="86"/>
      <c r="I16" s="87" t="s">
        <v>51</v>
      </c>
      <c r="J16" s="86"/>
      <c r="K16" s="86"/>
      <c r="L16" s="86"/>
      <c r="M16" s="85" t="s">
        <v>52</v>
      </c>
      <c r="N16" s="86"/>
      <c r="O16" s="86"/>
    </row>
    <row r="17" spans="1:15" ht="30" customHeight="1" x14ac:dyDescent="0.75">
      <c r="A17" s="85" t="s">
        <v>53</v>
      </c>
      <c r="B17" s="86"/>
      <c r="C17" s="86"/>
      <c r="D17" s="86"/>
      <c r="E17" s="85" t="s">
        <v>54</v>
      </c>
      <c r="F17" s="86"/>
      <c r="G17" s="86"/>
      <c r="H17" s="86"/>
      <c r="I17" s="87" t="s">
        <v>40</v>
      </c>
      <c r="J17" s="86"/>
      <c r="K17" s="86"/>
      <c r="L17" s="86"/>
      <c r="M17" s="85" t="s">
        <v>55</v>
      </c>
      <c r="N17" s="86"/>
      <c r="O17" s="86"/>
    </row>
    <row r="18" spans="1:15" ht="30" customHeight="1" x14ac:dyDescent="0.75">
      <c r="A18" s="85" t="s">
        <v>56</v>
      </c>
      <c r="B18" s="86"/>
      <c r="C18" s="86"/>
      <c r="D18" s="86"/>
      <c r="E18" s="85" t="s">
        <v>57</v>
      </c>
      <c r="F18" s="86"/>
      <c r="G18" s="86"/>
      <c r="H18" s="86"/>
      <c r="I18" s="87" t="s">
        <v>40</v>
      </c>
      <c r="J18" s="86"/>
      <c r="K18" s="86"/>
      <c r="L18" s="86"/>
      <c r="M18" s="85" t="s">
        <v>58</v>
      </c>
      <c r="N18" s="86"/>
      <c r="O18" s="86"/>
    </row>
    <row r="20" spans="1:15" ht="30" customHeight="1" x14ac:dyDescent="0.75">
      <c r="A20" s="82" t="s">
        <v>59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</row>
    <row r="21" spans="1:15" ht="30" customHeight="1" x14ac:dyDescent="0.75">
      <c r="A21" s="88" t="s">
        <v>60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</row>
    <row r="22" spans="1:15" ht="30" customHeight="1" x14ac:dyDescent="0.7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</row>
    <row r="23" spans="1:15" ht="30" customHeight="1" x14ac:dyDescent="0.75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</row>
    <row r="25" spans="1:15" ht="30" customHeight="1" x14ac:dyDescent="0.75">
      <c r="A25" s="82" t="s">
        <v>61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</row>
    <row r="27" spans="1:15" ht="30" customHeight="1" x14ac:dyDescent="0.75">
      <c r="A27" s="84" t="s">
        <v>62</v>
      </c>
      <c r="B27" s="84"/>
      <c r="C27" s="84"/>
      <c r="D27" s="84" t="s">
        <v>63</v>
      </c>
      <c r="E27" s="84"/>
      <c r="F27" s="84"/>
      <c r="G27" s="84" t="s">
        <v>35</v>
      </c>
      <c r="H27" s="84"/>
      <c r="I27" s="84"/>
      <c r="J27" s="84" t="s">
        <v>36</v>
      </c>
      <c r="K27" s="84"/>
      <c r="L27" s="84"/>
      <c r="M27" s="84" t="s">
        <v>64</v>
      </c>
      <c r="N27" s="84"/>
      <c r="O27" s="84"/>
    </row>
    <row r="28" spans="1:15" ht="30" customHeight="1" x14ac:dyDescent="0.75">
      <c r="A28" s="85" t="s">
        <v>65</v>
      </c>
      <c r="B28" s="86"/>
      <c r="C28" s="86"/>
      <c r="D28" s="87" t="s">
        <v>66</v>
      </c>
      <c r="E28" s="86"/>
      <c r="F28" s="86"/>
      <c r="G28" s="89">
        <v>320</v>
      </c>
      <c r="H28" s="90"/>
      <c r="I28" s="90"/>
      <c r="J28" s="87" t="s">
        <v>47</v>
      </c>
      <c r="K28" s="86"/>
      <c r="L28" s="86"/>
      <c r="M28" s="85" t="s">
        <v>67</v>
      </c>
      <c r="N28" s="86"/>
      <c r="O28" s="86"/>
    </row>
    <row r="29" spans="1:15" ht="30" customHeight="1" x14ac:dyDescent="0.75">
      <c r="A29" s="85" t="s">
        <v>68</v>
      </c>
      <c r="B29" s="86"/>
      <c r="C29" s="86"/>
      <c r="D29" s="87" t="s">
        <v>69</v>
      </c>
      <c r="E29" s="86"/>
      <c r="F29" s="86"/>
      <c r="G29" s="89">
        <v>12</v>
      </c>
      <c r="H29" s="90"/>
      <c r="I29" s="90"/>
      <c r="J29" s="87" t="s">
        <v>51</v>
      </c>
      <c r="K29" s="86"/>
      <c r="L29" s="86"/>
      <c r="M29" s="85" t="s">
        <v>70</v>
      </c>
      <c r="N29" s="86"/>
      <c r="O29" s="86"/>
    </row>
    <row r="30" spans="1:15" ht="30" customHeight="1" x14ac:dyDescent="0.75">
      <c r="A30" s="85" t="s">
        <v>71</v>
      </c>
      <c r="B30" s="86"/>
      <c r="C30" s="86"/>
      <c r="D30" s="87" t="s">
        <v>72</v>
      </c>
      <c r="E30" s="86"/>
      <c r="F30" s="86"/>
      <c r="G30" s="89">
        <v>165</v>
      </c>
      <c r="H30" s="90"/>
      <c r="I30" s="90"/>
      <c r="J30" s="87" t="s">
        <v>73</v>
      </c>
      <c r="K30" s="86"/>
      <c r="L30" s="86"/>
      <c r="M30" s="85" t="s">
        <v>74</v>
      </c>
      <c r="N30" s="86"/>
      <c r="O30" s="86"/>
    </row>
    <row r="31" spans="1:15" ht="30" customHeight="1" x14ac:dyDescent="0.75">
      <c r="A31" s="85" t="s">
        <v>75</v>
      </c>
      <c r="B31" s="86"/>
      <c r="C31" s="86"/>
      <c r="D31" s="87" t="s">
        <v>76</v>
      </c>
      <c r="E31" s="86"/>
      <c r="F31" s="86"/>
      <c r="G31" s="89">
        <v>0.55000000000000004</v>
      </c>
      <c r="H31" s="90"/>
      <c r="I31" s="90"/>
      <c r="J31" s="87" t="s">
        <v>40</v>
      </c>
      <c r="K31" s="86"/>
      <c r="L31" s="86"/>
      <c r="M31" s="85" t="s">
        <v>77</v>
      </c>
      <c r="N31" s="86"/>
      <c r="O31" s="86"/>
    </row>
    <row r="32" spans="1:15" ht="30" customHeight="1" x14ac:dyDescent="0.75">
      <c r="A32" s="85" t="s">
        <v>78</v>
      </c>
      <c r="B32" s="86"/>
      <c r="C32" s="86"/>
      <c r="D32" s="87" t="s">
        <v>79</v>
      </c>
      <c r="E32" s="86"/>
      <c r="F32" s="86"/>
      <c r="G32" s="89">
        <v>8</v>
      </c>
      <c r="H32" s="90"/>
      <c r="I32" s="90"/>
      <c r="J32" s="87" t="s">
        <v>80</v>
      </c>
      <c r="K32" s="86"/>
      <c r="L32" s="86"/>
      <c r="M32" s="85" t="s">
        <v>81</v>
      </c>
      <c r="N32" s="86"/>
      <c r="O32" s="86"/>
    </row>
    <row r="33" spans="1:15" ht="30" customHeight="1" x14ac:dyDescent="0.75">
      <c r="A33" s="85" t="s">
        <v>82</v>
      </c>
      <c r="B33" s="86"/>
      <c r="C33" s="86"/>
      <c r="D33" s="87" t="s">
        <v>83</v>
      </c>
      <c r="E33" s="86"/>
      <c r="F33" s="86"/>
      <c r="G33" s="89">
        <v>3</v>
      </c>
      <c r="H33" s="90"/>
      <c r="I33" s="90"/>
      <c r="J33" s="87" t="s">
        <v>80</v>
      </c>
      <c r="K33" s="86"/>
      <c r="L33" s="86"/>
      <c r="M33" s="85" t="s">
        <v>84</v>
      </c>
      <c r="N33" s="86"/>
      <c r="O33" s="86"/>
    </row>
    <row r="34" spans="1:15" ht="30" customHeight="1" x14ac:dyDescent="0.75">
      <c r="A34" s="85" t="s">
        <v>85</v>
      </c>
      <c r="B34" s="86"/>
      <c r="C34" s="86"/>
      <c r="D34" s="87" t="s">
        <v>86</v>
      </c>
      <c r="E34" s="86"/>
      <c r="F34" s="86"/>
      <c r="G34" s="89">
        <v>3</v>
      </c>
      <c r="H34" s="90"/>
      <c r="I34" s="90"/>
      <c r="J34" s="87" t="s">
        <v>87</v>
      </c>
      <c r="K34" s="86"/>
      <c r="L34" s="86"/>
      <c r="M34" s="85" t="s">
        <v>88</v>
      </c>
      <c r="N34" s="86"/>
      <c r="O34" s="86"/>
    </row>
    <row r="35" spans="1:15" ht="30" customHeight="1" x14ac:dyDescent="0.75">
      <c r="A35" s="85" t="s">
        <v>89</v>
      </c>
      <c r="B35" s="86"/>
      <c r="C35" s="86"/>
      <c r="D35" s="87" t="s">
        <v>90</v>
      </c>
      <c r="E35" s="86"/>
      <c r="F35" s="86"/>
      <c r="G35" s="89">
        <v>0.95</v>
      </c>
      <c r="H35" s="90"/>
      <c r="I35" s="90"/>
      <c r="J35" s="87" t="s">
        <v>40</v>
      </c>
      <c r="K35" s="86"/>
      <c r="L35" s="86"/>
      <c r="M35" s="85" t="s">
        <v>91</v>
      </c>
      <c r="N35" s="86"/>
      <c r="O35" s="86"/>
    </row>
    <row r="36" spans="1:15" ht="30" customHeight="1" x14ac:dyDescent="0.75">
      <c r="A36" s="85" t="s">
        <v>92</v>
      </c>
      <c r="B36" s="86"/>
      <c r="C36" s="86"/>
      <c r="D36" s="87" t="s">
        <v>93</v>
      </c>
      <c r="E36" s="86"/>
      <c r="F36" s="86"/>
      <c r="G36" s="89">
        <v>0.88</v>
      </c>
      <c r="H36" s="90"/>
      <c r="I36" s="90"/>
      <c r="J36" s="87" t="s">
        <v>94</v>
      </c>
      <c r="K36" s="86"/>
      <c r="L36" s="86"/>
      <c r="M36" s="85" t="s">
        <v>95</v>
      </c>
      <c r="N36" s="86"/>
      <c r="O36" s="86"/>
    </row>
    <row r="37" spans="1:15" ht="30" customHeight="1" x14ac:dyDescent="0.75">
      <c r="A37" s="85" t="s">
        <v>96</v>
      </c>
      <c r="B37" s="86"/>
      <c r="C37" s="86"/>
      <c r="D37" s="87" t="s">
        <v>97</v>
      </c>
      <c r="E37" s="86"/>
      <c r="F37" s="86"/>
      <c r="G37" s="89">
        <v>0.6</v>
      </c>
      <c r="H37" s="90"/>
      <c r="I37" s="90"/>
      <c r="J37" s="87" t="s">
        <v>40</v>
      </c>
      <c r="K37" s="86"/>
      <c r="L37" s="86"/>
      <c r="M37" s="85" t="s">
        <v>98</v>
      </c>
      <c r="N37" s="86"/>
      <c r="O37" s="86"/>
    </row>
    <row r="39" spans="1:15" ht="30" customHeight="1" x14ac:dyDescent="0.75">
      <c r="A39" s="82" t="s">
        <v>99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</row>
    <row r="40" spans="1:15" ht="30" customHeight="1" x14ac:dyDescent="0.75">
      <c r="A40" s="88" t="s">
        <v>100</v>
      </c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</row>
    <row r="41" spans="1:15" ht="30" customHeight="1" x14ac:dyDescent="0.75">
      <c r="A41" s="88" t="s">
        <v>101</v>
      </c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</row>
    <row r="42" spans="1:15" ht="30" customHeight="1" x14ac:dyDescent="0.75">
      <c r="A42" s="88" t="s">
        <v>102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</row>
    <row r="44" spans="1:15" ht="30" customHeight="1" x14ac:dyDescent="0.75">
      <c r="A44" s="82" t="s">
        <v>103</v>
      </c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</row>
    <row r="46" spans="1:15" ht="30" customHeight="1" x14ac:dyDescent="0.75">
      <c r="A46" s="84" t="s">
        <v>104</v>
      </c>
      <c r="B46" s="84"/>
      <c r="C46" s="84"/>
      <c r="D46" s="84" t="s">
        <v>25</v>
      </c>
      <c r="E46" s="84"/>
      <c r="F46" s="84"/>
      <c r="G46" s="84" t="s">
        <v>105</v>
      </c>
      <c r="H46" s="84"/>
      <c r="I46" s="84"/>
      <c r="J46" s="84" t="s">
        <v>106</v>
      </c>
      <c r="K46" s="84"/>
      <c r="L46" s="84" t="s">
        <v>36</v>
      </c>
      <c r="M46" s="84"/>
      <c r="N46" s="84" t="s">
        <v>107</v>
      </c>
      <c r="O46" s="84"/>
    </row>
    <row r="47" spans="1:15" ht="30" customHeight="1" x14ac:dyDescent="0.75">
      <c r="A47" s="87" t="s">
        <v>108</v>
      </c>
      <c r="B47" s="86"/>
      <c r="C47" s="86"/>
      <c r="D47" s="85" t="s">
        <v>109</v>
      </c>
      <c r="E47" s="86"/>
      <c r="F47" s="86"/>
      <c r="G47" s="91" t="s">
        <v>110</v>
      </c>
      <c r="H47" s="92"/>
      <c r="I47" s="92"/>
      <c r="J47" s="93">
        <f>G28*G29/60</f>
        <v>64</v>
      </c>
      <c r="K47" s="94"/>
      <c r="L47" s="87" t="s">
        <v>111</v>
      </c>
      <c r="M47" s="86"/>
      <c r="N47" s="87">
        <f t="shared" ref="N47:N63" si="0">J47</f>
        <v>64</v>
      </c>
      <c r="O47" s="86"/>
    </row>
    <row r="48" spans="1:15" ht="30" customHeight="1" x14ac:dyDescent="0.75">
      <c r="A48" s="87" t="s">
        <v>112</v>
      </c>
      <c r="B48" s="86"/>
      <c r="C48" s="86"/>
      <c r="D48" s="85" t="s">
        <v>113</v>
      </c>
      <c r="E48" s="86"/>
      <c r="F48" s="86"/>
      <c r="G48" s="91" t="s">
        <v>114</v>
      </c>
      <c r="H48" s="92"/>
      <c r="I48" s="92"/>
      <c r="J48" s="93">
        <f>J47*60</f>
        <v>3840</v>
      </c>
      <c r="K48" s="94"/>
      <c r="L48" s="87" t="s">
        <v>115</v>
      </c>
      <c r="M48" s="86"/>
      <c r="N48" s="87">
        <f t="shared" si="0"/>
        <v>3840</v>
      </c>
      <c r="O48" s="86"/>
    </row>
    <row r="49" spans="1:15" ht="30" customHeight="1" x14ac:dyDescent="0.75">
      <c r="A49" s="87" t="s">
        <v>116</v>
      </c>
      <c r="B49" s="86"/>
      <c r="C49" s="86"/>
      <c r="D49" s="85" t="s">
        <v>117</v>
      </c>
      <c r="E49" s="86"/>
      <c r="F49" s="86"/>
      <c r="G49" s="91" t="s">
        <v>118</v>
      </c>
      <c r="H49" s="92"/>
      <c r="I49" s="92"/>
      <c r="J49" s="93">
        <f>J47*35.3147</f>
        <v>2260.1408000000001</v>
      </c>
      <c r="K49" s="94"/>
      <c r="L49" s="87" t="s">
        <v>119</v>
      </c>
      <c r="M49" s="86"/>
      <c r="N49" s="87">
        <f t="shared" si="0"/>
        <v>2260.1408000000001</v>
      </c>
      <c r="O49" s="86"/>
    </row>
    <row r="50" spans="1:15" ht="30" customHeight="1" x14ac:dyDescent="0.75">
      <c r="A50" s="87" t="s">
        <v>120</v>
      </c>
      <c r="B50" s="86"/>
      <c r="C50" s="86"/>
      <c r="D50" s="85" t="s">
        <v>121</v>
      </c>
      <c r="E50" s="86"/>
      <c r="F50" s="86"/>
      <c r="G50" s="91" t="s">
        <v>122</v>
      </c>
      <c r="H50" s="92"/>
      <c r="I50" s="92"/>
      <c r="J50" s="93">
        <f>J47/60</f>
        <v>1.0666666666666667</v>
      </c>
      <c r="K50" s="94"/>
      <c r="L50" s="87" t="s">
        <v>123</v>
      </c>
      <c r="M50" s="86"/>
      <c r="N50" s="87">
        <f t="shared" si="0"/>
        <v>1.0666666666666667</v>
      </c>
      <c r="O50" s="86"/>
    </row>
    <row r="51" spans="1:15" ht="30" customHeight="1" x14ac:dyDescent="0.75">
      <c r="A51" s="87" t="s">
        <v>124</v>
      </c>
      <c r="B51" s="86"/>
      <c r="C51" s="86"/>
      <c r="D51" s="85" t="s">
        <v>125</v>
      </c>
      <c r="E51" s="86"/>
      <c r="F51" s="86"/>
      <c r="G51" s="91" t="s">
        <v>126</v>
      </c>
      <c r="H51" s="92"/>
      <c r="I51" s="92"/>
      <c r="J51" s="93">
        <f>J50*G30/(G31*1000)</f>
        <v>0.32</v>
      </c>
      <c r="K51" s="94"/>
      <c r="L51" s="87" t="s">
        <v>127</v>
      </c>
      <c r="M51" s="86"/>
      <c r="N51" s="87">
        <f t="shared" si="0"/>
        <v>0.32</v>
      </c>
      <c r="O51" s="86"/>
    </row>
    <row r="52" spans="1:15" ht="30" customHeight="1" x14ac:dyDescent="0.75">
      <c r="A52" s="87" t="s">
        <v>128</v>
      </c>
      <c r="B52" s="86"/>
      <c r="C52" s="86"/>
      <c r="D52" s="85" t="s">
        <v>129</v>
      </c>
      <c r="E52" s="86"/>
      <c r="F52" s="86"/>
      <c r="G52" s="91" t="s">
        <v>130</v>
      </c>
      <c r="H52" s="92"/>
      <c r="I52" s="92"/>
      <c r="J52" s="93">
        <f>J51*1.341</f>
        <v>0.42912</v>
      </c>
      <c r="K52" s="94"/>
      <c r="L52" s="87" t="s">
        <v>131</v>
      </c>
      <c r="M52" s="86"/>
      <c r="N52" s="87">
        <f t="shared" si="0"/>
        <v>0.42912</v>
      </c>
      <c r="O52" s="86"/>
    </row>
    <row r="53" spans="1:15" ht="30" customHeight="1" x14ac:dyDescent="0.75">
      <c r="A53" s="87" t="s">
        <v>132</v>
      </c>
      <c r="B53" s="86"/>
      <c r="C53" s="86"/>
      <c r="D53" s="85" t="s">
        <v>133</v>
      </c>
      <c r="E53" s="86"/>
      <c r="F53" s="86"/>
      <c r="G53" s="91" t="s">
        <v>134</v>
      </c>
      <c r="H53" s="92"/>
      <c r="I53" s="92"/>
      <c r="J53" s="93">
        <f>J50/G32</f>
        <v>0.13333333333333333</v>
      </c>
      <c r="K53" s="94"/>
      <c r="L53" s="87" t="s">
        <v>135</v>
      </c>
      <c r="M53" s="86"/>
      <c r="N53" s="87">
        <f t="shared" si="0"/>
        <v>0.13333333333333333</v>
      </c>
      <c r="O53" s="86"/>
    </row>
    <row r="54" spans="1:15" ht="30" customHeight="1" x14ac:dyDescent="0.75">
      <c r="A54" s="87" t="s">
        <v>136</v>
      </c>
      <c r="B54" s="86"/>
      <c r="C54" s="86"/>
      <c r="D54" s="85" t="s">
        <v>137</v>
      </c>
      <c r="E54" s="86"/>
      <c r="F54" s="86"/>
      <c r="G54" s="91" t="s">
        <v>138</v>
      </c>
      <c r="H54" s="92"/>
      <c r="I54" s="92"/>
      <c r="J54" s="93">
        <f>SQRT(4*J53/PI())</f>
        <v>0.41202581549140221</v>
      </c>
      <c r="K54" s="94"/>
      <c r="L54" s="87" t="s">
        <v>139</v>
      </c>
      <c r="M54" s="86"/>
      <c r="N54" s="87">
        <f t="shared" si="0"/>
        <v>0.41202581549140221</v>
      </c>
      <c r="O54" s="86"/>
    </row>
    <row r="55" spans="1:15" ht="30" customHeight="1" x14ac:dyDescent="0.75">
      <c r="A55" s="87" t="s">
        <v>140</v>
      </c>
      <c r="B55" s="86"/>
      <c r="C55" s="86"/>
      <c r="D55" s="85" t="s">
        <v>141</v>
      </c>
      <c r="E55" s="86"/>
      <c r="F55" s="86"/>
      <c r="G55" s="91" t="s">
        <v>142</v>
      </c>
      <c r="H55" s="92"/>
      <c r="I55" s="92"/>
      <c r="J55" s="93">
        <f>J54/2</f>
        <v>0.20601290774570111</v>
      </c>
      <c r="K55" s="94"/>
      <c r="L55" s="87" t="s">
        <v>139</v>
      </c>
      <c r="M55" s="86"/>
      <c r="N55" s="87">
        <f t="shared" si="0"/>
        <v>0.20601290774570111</v>
      </c>
      <c r="O55" s="86"/>
    </row>
    <row r="56" spans="1:15" ht="30" customHeight="1" x14ac:dyDescent="0.75">
      <c r="A56" s="87" t="s">
        <v>143</v>
      </c>
      <c r="B56" s="86"/>
      <c r="C56" s="86"/>
      <c r="D56" s="85" t="s">
        <v>144</v>
      </c>
      <c r="E56" s="86"/>
      <c r="F56" s="86"/>
      <c r="G56" s="91" t="s">
        <v>145</v>
      </c>
      <c r="H56" s="92"/>
      <c r="I56" s="92"/>
      <c r="J56" s="93">
        <f>J55*1000</f>
        <v>206.01290774570111</v>
      </c>
      <c r="K56" s="94"/>
      <c r="L56" s="87" t="s">
        <v>146</v>
      </c>
      <c r="M56" s="86"/>
      <c r="N56" s="87">
        <f t="shared" si="0"/>
        <v>206.01290774570111</v>
      </c>
      <c r="O56" s="86"/>
    </row>
    <row r="57" spans="1:15" ht="30" customHeight="1" x14ac:dyDescent="0.75">
      <c r="A57" s="87" t="s">
        <v>147</v>
      </c>
      <c r="B57" s="86"/>
      <c r="C57" s="86"/>
      <c r="D57" s="85" t="s">
        <v>148</v>
      </c>
      <c r="E57" s="86"/>
      <c r="F57" s="86"/>
      <c r="G57" s="91" t="s">
        <v>149</v>
      </c>
      <c r="H57" s="92"/>
      <c r="I57" s="92"/>
      <c r="J57" s="93">
        <f>J50/G33</f>
        <v>0.35555555555555557</v>
      </c>
      <c r="K57" s="94"/>
      <c r="L57" s="87" t="s">
        <v>135</v>
      </c>
      <c r="M57" s="86"/>
      <c r="N57" s="87">
        <f t="shared" si="0"/>
        <v>0.35555555555555557</v>
      </c>
      <c r="O57" s="86"/>
    </row>
    <row r="58" spans="1:15" ht="30" customHeight="1" x14ac:dyDescent="0.75">
      <c r="A58" s="87" t="s">
        <v>50</v>
      </c>
      <c r="B58" s="86"/>
      <c r="C58" s="86"/>
      <c r="D58" s="85" t="s">
        <v>150</v>
      </c>
      <c r="E58" s="86"/>
      <c r="F58" s="86"/>
      <c r="G58" s="91" t="s">
        <v>151</v>
      </c>
      <c r="H58" s="92"/>
      <c r="I58" s="92"/>
      <c r="J58" s="93">
        <f>J57/G34</f>
        <v>0.11851851851851852</v>
      </c>
      <c r="K58" s="94"/>
      <c r="L58" s="87" t="s">
        <v>135</v>
      </c>
      <c r="M58" s="86"/>
      <c r="N58" s="87">
        <f t="shared" si="0"/>
        <v>0.11851851851851852</v>
      </c>
      <c r="O58" s="86"/>
    </row>
    <row r="59" spans="1:15" ht="30" customHeight="1" x14ac:dyDescent="0.75">
      <c r="A59" s="87" t="s">
        <v>152</v>
      </c>
      <c r="B59" s="86"/>
      <c r="C59" s="86"/>
      <c r="D59" s="85" t="s">
        <v>153</v>
      </c>
      <c r="E59" s="86"/>
      <c r="F59" s="86"/>
      <c r="G59" s="91" t="s">
        <v>154</v>
      </c>
      <c r="H59" s="92"/>
      <c r="I59" s="92"/>
      <c r="J59" s="93">
        <f>SQRT(J58/G35)</f>
        <v>0.35320862855067836</v>
      </c>
      <c r="K59" s="94"/>
      <c r="L59" s="87" t="s">
        <v>139</v>
      </c>
      <c r="M59" s="86"/>
      <c r="N59" s="87">
        <f t="shared" si="0"/>
        <v>0.35320862855067836</v>
      </c>
      <c r="O59" s="86"/>
    </row>
    <row r="60" spans="1:15" ht="30" customHeight="1" x14ac:dyDescent="0.75">
      <c r="A60" s="87" t="s">
        <v>155</v>
      </c>
      <c r="B60" s="86"/>
      <c r="C60" s="86"/>
      <c r="D60" s="85" t="s">
        <v>156</v>
      </c>
      <c r="E60" s="86"/>
      <c r="F60" s="86"/>
      <c r="G60" s="91" t="s">
        <v>157</v>
      </c>
      <c r="H60" s="92"/>
      <c r="I60" s="92"/>
      <c r="J60" s="93">
        <f>J58/J59</f>
        <v>0.33554819712314443</v>
      </c>
      <c r="K60" s="94"/>
      <c r="L60" s="87" t="s">
        <v>139</v>
      </c>
      <c r="M60" s="86"/>
      <c r="N60" s="87">
        <f t="shared" si="0"/>
        <v>0.33554819712314443</v>
      </c>
      <c r="O60" s="86"/>
    </row>
    <row r="61" spans="1:15" ht="30" customHeight="1" x14ac:dyDescent="0.75">
      <c r="A61" s="87" t="s">
        <v>158</v>
      </c>
      <c r="B61" s="86"/>
      <c r="C61" s="86"/>
      <c r="D61" s="85" t="s">
        <v>159</v>
      </c>
      <c r="E61" s="86"/>
      <c r="F61" s="86"/>
      <c r="G61" s="91" t="s">
        <v>160</v>
      </c>
      <c r="H61" s="92"/>
      <c r="I61" s="92"/>
      <c r="J61" s="93">
        <f>J59*1000</f>
        <v>353.20862855067838</v>
      </c>
      <c r="K61" s="94"/>
      <c r="L61" s="87" t="s">
        <v>146</v>
      </c>
      <c r="M61" s="86"/>
      <c r="N61" s="87">
        <f t="shared" si="0"/>
        <v>353.20862855067838</v>
      </c>
      <c r="O61" s="86"/>
    </row>
    <row r="62" spans="1:15" ht="30" customHeight="1" x14ac:dyDescent="0.75">
      <c r="A62" s="87" t="s">
        <v>161</v>
      </c>
      <c r="B62" s="86"/>
      <c r="C62" s="86"/>
      <c r="D62" s="85" t="s">
        <v>162</v>
      </c>
      <c r="E62" s="86"/>
      <c r="F62" s="86"/>
      <c r="G62" s="91" t="s">
        <v>163</v>
      </c>
      <c r="H62" s="92"/>
      <c r="I62" s="92"/>
      <c r="J62" s="93">
        <f>J60*1000</f>
        <v>335.5481971231444</v>
      </c>
      <c r="K62" s="94"/>
      <c r="L62" s="87" t="s">
        <v>146</v>
      </c>
      <c r="M62" s="86"/>
      <c r="N62" s="87">
        <f t="shared" si="0"/>
        <v>335.5481971231444</v>
      </c>
      <c r="O62" s="86"/>
    </row>
    <row r="63" spans="1:15" ht="30" customHeight="1" x14ac:dyDescent="0.75">
      <c r="A63" s="87" t="s">
        <v>164</v>
      </c>
      <c r="B63" s="86"/>
      <c r="C63" s="86"/>
      <c r="D63" s="85" t="s">
        <v>165</v>
      </c>
      <c r="E63" s="86"/>
      <c r="F63" s="86"/>
      <c r="G63" s="91" t="s">
        <v>166</v>
      </c>
      <c r="H63" s="92"/>
      <c r="I63" s="92"/>
      <c r="J63" s="93">
        <f>G36/2*(J50/(G37*J57))^2</f>
        <v>11</v>
      </c>
      <c r="K63" s="94"/>
      <c r="L63" s="87" t="s">
        <v>73</v>
      </c>
      <c r="M63" s="86"/>
      <c r="N63" s="87">
        <f t="shared" si="0"/>
        <v>11</v>
      </c>
      <c r="O63" s="86"/>
    </row>
    <row r="65" spans="1:15" ht="30" customHeight="1" x14ac:dyDescent="0.75">
      <c r="A65" s="82" t="s">
        <v>167</v>
      </c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</row>
    <row r="67" spans="1:15" ht="30" customHeight="1" x14ac:dyDescent="0.75">
      <c r="A67" s="84" t="s">
        <v>62</v>
      </c>
      <c r="B67" s="84"/>
      <c r="C67" s="84"/>
      <c r="D67" s="84"/>
      <c r="E67" s="84" t="s">
        <v>35</v>
      </c>
      <c r="F67" s="84"/>
      <c r="G67" s="84"/>
      <c r="H67" s="84"/>
      <c r="I67" s="84" t="s">
        <v>36</v>
      </c>
      <c r="J67" s="84"/>
      <c r="K67" s="84"/>
      <c r="L67" s="84"/>
      <c r="M67" s="84" t="s">
        <v>37</v>
      </c>
      <c r="N67" s="84"/>
      <c r="O67" s="84"/>
    </row>
    <row r="68" spans="1:15" ht="30" customHeight="1" x14ac:dyDescent="0.75">
      <c r="A68" s="85" t="s">
        <v>168</v>
      </c>
      <c r="B68" s="86"/>
      <c r="C68" s="86"/>
      <c r="D68" s="86"/>
      <c r="E68" s="93">
        <f>J47</f>
        <v>64</v>
      </c>
      <c r="F68" s="94"/>
      <c r="G68" s="94"/>
      <c r="H68" s="94"/>
      <c r="I68" s="87" t="s">
        <v>111</v>
      </c>
      <c r="J68" s="86"/>
      <c r="K68" s="86"/>
      <c r="L68" s="86"/>
      <c r="M68" s="85" t="s">
        <v>169</v>
      </c>
      <c r="N68" s="86"/>
      <c r="O68" s="86"/>
    </row>
    <row r="69" spans="1:15" ht="30" customHeight="1" x14ac:dyDescent="0.75">
      <c r="A69" s="85" t="s">
        <v>168</v>
      </c>
      <c r="B69" s="86"/>
      <c r="C69" s="86"/>
      <c r="D69" s="86"/>
      <c r="E69" s="93">
        <f>J48</f>
        <v>3840</v>
      </c>
      <c r="F69" s="94"/>
      <c r="G69" s="94"/>
      <c r="H69" s="94"/>
      <c r="I69" s="87" t="s">
        <v>115</v>
      </c>
      <c r="J69" s="86"/>
      <c r="K69" s="86"/>
      <c r="L69" s="86"/>
      <c r="M69" s="85" t="s">
        <v>170</v>
      </c>
      <c r="N69" s="86"/>
      <c r="O69" s="86"/>
    </row>
    <row r="70" spans="1:15" ht="30" customHeight="1" x14ac:dyDescent="0.75">
      <c r="A70" s="85" t="s">
        <v>168</v>
      </c>
      <c r="B70" s="86"/>
      <c r="C70" s="86"/>
      <c r="D70" s="86"/>
      <c r="E70" s="93">
        <f>J49</f>
        <v>2260.1408000000001</v>
      </c>
      <c r="F70" s="94"/>
      <c r="G70" s="94"/>
      <c r="H70" s="94"/>
      <c r="I70" s="87" t="s">
        <v>119</v>
      </c>
      <c r="J70" s="86"/>
      <c r="K70" s="86"/>
      <c r="L70" s="86"/>
      <c r="M70" s="85" t="s">
        <v>171</v>
      </c>
      <c r="N70" s="86"/>
      <c r="O70" s="86"/>
    </row>
    <row r="71" spans="1:15" ht="30" customHeight="1" x14ac:dyDescent="0.75">
      <c r="A71" s="85" t="s">
        <v>125</v>
      </c>
      <c r="B71" s="86"/>
      <c r="C71" s="86"/>
      <c r="D71" s="86"/>
      <c r="E71" s="93">
        <f>J51</f>
        <v>0.32</v>
      </c>
      <c r="F71" s="94"/>
      <c r="G71" s="94"/>
      <c r="H71" s="94"/>
      <c r="I71" s="87" t="s">
        <v>127</v>
      </c>
      <c r="J71" s="86"/>
      <c r="K71" s="86"/>
      <c r="L71" s="86"/>
      <c r="M71" s="85" t="s">
        <v>172</v>
      </c>
      <c r="N71" s="86"/>
      <c r="O71" s="86"/>
    </row>
    <row r="72" spans="1:15" ht="30" customHeight="1" x14ac:dyDescent="0.75">
      <c r="A72" s="85" t="s">
        <v>125</v>
      </c>
      <c r="B72" s="86"/>
      <c r="C72" s="86"/>
      <c r="D72" s="86"/>
      <c r="E72" s="93">
        <f>J52</f>
        <v>0.42912</v>
      </c>
      <c r="F72" s="94"/>
      <c r="G72" s="94"/>
      <c r="H72" s="94"/>
      <c r="I72" s="87" t="s">
        <v>131</v>
      </c>
      <c r="J72" s="86"/>
      <c r="K72" s="86"/>
      <c r="L72" s="86"/>
      <c r="M72" s="85" t="s">
        <v>173</v>
      </c>
      <c r="N72" s="86"/>
      <c r="O72" s="86"/>
    </row>
    <row r="73" spans="1:15" ht="30" customHeight="1" x14ac:dyDescent="0.75">
      <c r="A73" s="85" t="s">
        <v>174</v>
      </c>
      <c r="B73" s="86"/>
      <c r="C73" s="86"/>
      <c r="D73" s="86"/>
      <c r="E73" s="93">
        <f>CEILING(J52*1.5,0.25)</f>
        <v>0.75</v>
      </c>
      <c r="F73" s="94"/>
      <c r="G73" s="94"/>
      <c r="H73" s="94"/>
      <c r="I73" s="87" t="s">
        <v>131</v>
      </c>
      <c r="J73" s="86"/>
      <c r="K73" s="86"/>
      <c r="L73" s="86"/>
      <c r="M73" s="85" t="s">
        <v>175</v>
      </c>
      <c r="N73" s="86"/>
      <c r="O73" s="86"/>
    </row>
    <row r="74" spans="1:15" ht="30" customHeight="1" x14ac:dyDescent="0.75">
      <c r="A74" s="85" t="s">
        <v>133</v>
      </c>
      <c r="B74" s="86"/>
      <c r="C74" s="86"/>
      <c r="D74" s="86"/>
      <c r="E74" s="93">
        <f>J53</f>
        <v>0.13333333333333333</v>
      </c>
      <c r="F74" s="94"/>
      <c r="G74" s="94"/>
      <c r="H74" s="94"/>
      <c r="I74" s="87" t="s">
        <v>135</v>
      </c>
      <c r="J74" s="86"/>
      <c r="K74" s="86"/>
      <c r="L74" s="86"/>
      <c r="M74" s="85" t="s">
        <v>176</v>
      </c>
      <c r="N74" s="86"/>
      <c r="O74" s="86"/>
    </row>
    <row r="75" spans="1:15" ht="30" customHeight="1" x14ac:dyDescent="0.75">
      <c r="A75" s="85" t="s">
        <v>137</v>
      </c>
      <c r="B75" s="86"/>
      <c r="C75" s="86"/>
      <c r="D75" s="86"/>
      <c r="E75" s="93">
        <f>J54</f>
        <v>0.41202581549140221</v>
      </c>
      <c r="F75" s="94"/>
      <c r="G75" s="94"/>
      <c r="H75" s="94"/>
      <c r="I75" s="87" t="s">
        <v>139</v>
      </c>
      <c r="J75" s="86"/>
      <c r="K75" s="86"/>
      <c r="L75" s="86"/>
      <c r="M75" s="85" t="s">
        <v>177</v>
      </c>
      <c r="N75" s="86"/>
      <c r="O75" s="86"/>
    </row>
    <row r="76" spans="1:15" ht="30" customHeight="1" x14ac:dyDescent="0.75">
      <c r="A76" s="85" t="s">
        <v>178</v>
      </c>
      <c r="B76" s="86"/>
      <c r="C76" s="86"/>
      <c r="D76" s="86"/>
      <c r="E76" s="93">
        <f>J56</f>
        <v>206.01290774570111</v>
      </c>
      <c r="F76" s="94"/>
      <c r="G76" s="94"/>
      <c r="H76" s="94"/>
      <c r="I76" s="87" t="s">
        <v>146</v>
      </c>
      <c r="J76" s="86"/>
      <c r="K76" s="86"/>
      <c r="L76" s="86"/>
      <c r="M76" s="85" t="s">
        <v>179</v>
      </c>
      <c r="N76" s="86"/>
      <c r="O76" s="86"/>
    </row>
    <row r="77" spans="1:15" ht="30" customHeight="1" x14ac:dyDescent="0.75">
      <c r="A77" s="85" t="s">
        <v>180</v>
      </c>
      <c r="B77" s="86"/>
      <c r="C77" s="86"/>
      <c r="D77" s="86"/>
      <c r="E77" s="93">
        <f>G32</f>
        <v>8</v>
      </c>
      <c r="F77" s="94"/>
      <c r="G77" s="94"/>
      <c r="H77" s="94"/>
      <c r="I77" s="87" t="s">
        <v>80</v>
      </c>
      <c r="J77" s="86"/>
      <c r="K77" s="86"/>
      <c r="L77" s="86"/>
      <c r="M77" s="85" t="s">
        <v>181</v>
      </c>
      <c r="N77" s="86"/>
      <c r="O77" s="86"/>
    </row>
    <row r="78" spans="1:15" ht="30" customHeight="1" x14ac:dyDescent="0.75">
      <c r="A78" s="85" t="s">
        <v>148</v>
      </c>
      <c r="B78" s="86"/>
      <c r="C78" s="86"/>
      <c r="D78" s="86"/>
      <c r="E78" s="93">
        <f>J57</f>
        <v>0.35555555555555557</v>
      </c>
      <c r="F78" s="94"/>
      <c r="G78" s="94"/>
      <c r="H78" s="94"/>
      <c r="I78" s="87" t="s">
        <v>135</v>
      </c>
      <c r="J78" s="86"/>
      <c r="K78" s="86"/>
      <c r="L78" s="86"/>
      <c r="M78" s="85" t="s">
        <v>182</v>
      </c>
      <c r="N78" s="86"/>
      <c r="O78" s="86"/>
    </row>
    <row r="79" spans="1:15" ht="30" customHeight="1" x14ac:dyDescent="0.75">
      <c r="A79" s="85" t="s">
        <v>85</v>
      </c>
      <c r="B79" s="86"/>
      <c r="C79" s="86"/>
      <c r="D79" s="86"/>
      <c r="E79" s="93">
        <f>G34</f>
        <v>3</v>
      </c>
      <c r="F79" s="94"/>
      <c r="G79" s="94"/>
      <c r="H79" s="94"/>
      <c r="I79" s="87" t="s">
        <v>87</v>
      </c>
      <c r="J79" s="86"/>
      <c r="K79" s="86"/>
      <c r="L79" s="86"/>
      <c r="M79" s="85" t="s">
        <v>88</v>
      </c>
      <c r="N79" s="86"/>
      <c r="O79" s="86"/>
    </row>
    <row r="80" spans="1:15" ht="30" customHeight="1" x14ac:dyDescent="0.75">
      <c r="A80" s="85" t="s">
        <v>150</v>
      </c>
      <c r="B80" s="86"/>
      <c r="C80" s="86"/>
      <c r="D80" s="86"/>
      <c r="E80" s="93">
        <f>J58</f>
        <v>0.11851851851851852</v>
      </c>
      <c r="F80" s="94"/>
      <c r="G80" s="94"/>
      <c r="H80" s="94"/>
      <c r="I80" s="87" t="s">
        <v>135</v>
      </c>
      <c r="J80" s="86"/>
      <c r="K80" s="86"/>
      <c r="L80" s="86"/>
      <c r="M80" s="85" t="s">
        <v>183</v>
      </c>
      <c r="N80" s="86"/>
      <c r="O80" s="86"/>
    </row>
    <row r="81" spans="1:15" ht="30" customHeight="1" x14ac:dyDescent="0.75">
      <c r="A81" s="85" t="s">
        <v>184</v>
      </c>
      <c r="B81" s="86"/>
      <c r="C81" s="86"/>
      <c r="D81" s="86"/>
      <c r="E81" s="93">
        <f>J61</f>
        <v>353.20862855067838</v>
      </c>
      <c r="F81" s="94"/>
      <c r="G81" s="94"/>
      <c r="H81" s="94"/>
      <c r="I81" s="87" t="s">
        <v>146</v>
      </c>
      <c r="J81" s="86"/>
      <c r="K81" s="86"/>
      <c r="L81" s="86"/>
      <c r="M81" s="85" t="s">
        <v>185</v>
      </c>
      <c r="N81" s="86"/>
      <c r="O81" s="86"/>
    </row>
    <row r="82" spans="1:15" ht="30" customHeight="1" x14ac:dyDescent="0.75">
      <c r="A82" s="85" t="s">
        <v>186</v>
      </c>
      <c r="B82" s="86"/>
      <c r="C82" s="86"/>
      <c r="D82" s="86"/>
      <c r="E82" s="93">
        <f>J62</f>
        <v>335.5481971231444</v>
      </c>
      <c r="F82" s="94"/>
      <c r="G82" s="94"/>
      <c r="H82" s="94"/>
      <c r="I82" s="87" t="s">
        <v>146</v>
      </c>
      <c r="J82" s="86"/>
      <c r="K82" s="86"/>
      <c r="L82" s="86"/>
      <c r="M82" s="85" t="s">
        <v>185</v>
      </c>
      <c r="N82" s="86"/>
      <c r="O82" s="86"/>
    </row>
    <row r="83" spans="1:15" ht="30" customHeight="1" x14ac:dyDescent="0.75">
      <c r="A83" s="85" t="s">
        <v>187</v>
      </c>
      <c r="B83" s="86"/>
      <c r="C83" s="86"/>
      <c r="D83" s="86"/>
      <c r="E83" s="93">
        <f>G33</f>
        <v>3</v>
      </c>
      <c r="F83" s="94"/>
      <c r="G83" s="94"/>
      <c r="H83" s="94"/>
      <c r="I83" s="87" t="s">
        <v>80</v>
      </c>
      <c r="J83" s="86"/>
      <c r="K83" s="86"/>
      <c r="L83" s="86"/>
      <c r="M83" s="85" t="s">
        <v>188</v>
      </c>
      <c r="N83" s="86"/>
      <c r="O83" s="86"/>
    </row>
    <row r="84" spans="1:15" ht="30" customHeight="1" x14ac:dyDescent="0.75">
      <c r="A84" s="85" t="s">
        <v>189</v>
      </c>
      <c r="B84" s="86"/>
      <c r="C84" s="86"/>
      <c r="D84" s="86"/>
      <c r="E84" s="93">
        <f>J63</f>
        <v>11</v>
      </c>
      <c r="F84" s="94"/>
      <c r="G84" s="94"/>
      <c r="H84" s="94"/>
      <c r="I84" s="87" t="s">
        <v>73</v>
      </c>
      <c r="J84" s="86"/>
      <c r="K84" s="86"/>
      <c r="L84" s="86"/>
      <c r="M84" s="85" t="s">
        <v>190</v>
      </c>
      <c r="N84" s="86"/>
      <c r="O84" s="86"/>
    </row>
    <row r="86" spans="1:15" ht="30" customHeight="1" x14ac:dyDescent="0.75">
      <c r="A86" s="82" t="s">
        <v>191</v>
      </c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</row>
    <row r="88" spans="1:15" ht="30" customHeight="1" x14ac:dyDescent="0.75">
      <c r="A88" s="84" t="s">
        <v>192</v>
      </c>
      <c r="B88" s="84"/>
      <c r="C88" s="84"/>
      <c r="D88" s="84"/>
      <c r="E88" s="84" t="s">
        <v>193</v>
      </c>
      <c r="F88" s="84"/>
      <c r="G88" s="84"/>
      <c r="H88" s="84"/>
      <c r="I88" s="84" t="s">
        <v>194</v>
      </c>
      <c r="J88" s="84"/>
      <c r="K88" s="84"/>
      <c r="L88" s="84"/>
      <c r="M88" s="84" t="s">
        <v>37</v>
      </c>
      <c r="N88" s="84"/>
      <c r="O88" s="84"/>
    </row>
    <row r="89" spans="1:15" ht="30" customHeight="1" x14ac:dyDescent="0.75">
      <c r="A89" s="85" t="s">
        <v>195</v>
      </c>
      <c r="B89" s="86"/>
      <c r="C89" s="86"/>
      <c r="D89" s="86"/>
      <c r="E89" s="87" t="s">
        <v>196</v>
      </c>
      <c r="F89" s="86"/>
      <c r="G89" s="86"/>
      <c r="H89" s="86"/>
      <c r="I89" s="87" t="s">
        <v>197</v>
      </c>
      <c r="J89" s="86"/>
      <c r="K89" s="86"/>
      <c r="L89" s="86"/>
      <c r="M89" s="85" t="s">
        <v>198</v>
      </c>
      <c r="N89" s="86"/>
      <c r="O89" s="86"/>
    </row>
    <row r="90" spans="1:15" ht="30" customHeight="1" x14ac:dyDescent="0.75">
      <c r="A90" s="85" t="s">
        <v>199</v>
      </c>
      <c r="B90" s="86"/>
      <c r="C90" s="86"/>
      <c r="D90" s="86"/>
      <c r="E90" s="87" t="s">
        <v>200</v>
      </c>
      <c r="F90" s="86"/>
      <c r="G90" s="86"/>
      <c r="H90" s="86"/>
      <c r="I90" s="87" t="s">
        <v>201</v>
      </c>
      <c r="J90" s="86"/>
      <c r="K90" s="86"/>
      <c r="L90" s="86"/>
      <c r="M90" s="85" t="s">
        <v>202</v>
      </c>
      <c r="N90" s="86"/>
      <c r="O90" s="86"/>
    </row>
    <row r="91" spans="1:15" ht="30" customHeight="1" x14ac:dyDescent="0.75">
      <c r="A91" s="85" t="s">
        <v>203</v>
      </c>
      <c r="B91" s="86"/>
      <c r="C91" s="86"/>
      <c r="D91" s="86"/>
      <c r="E91" s="87" t="s">
        <v>204</v>
      </c>
      <c r="F91" s="86"/>
      <c r="G91" s="86"/>
      <c r="H91" s="86"/>
      <c r="I91" s="87" t="s">
        <v>205</v>
      </c>
      <c r="J91" s="86"/>
      <c r="K91" s="86"/>
      <c r="L91" s="86"/>
      <c r="M91" s="85" t="s">
        <v>206</v>
      </c>
      <c r="N91" s="86"/>
      <c r="O91" s="86"/>
    </row>
    <row r="92" spans="1:15" ht="30" customHeight="1" x14ac:dyDescent="0.75">
      <c r="A92" s="85" t="s">
        <v>207</v>
      </c>
      <c r="B92" s="86"/>
      <c r="C92" s="86"/>
      <c r="D92" s="86"/>
      <c r="E92" s="87" t="s">
        <v>196</v>
      </c>
      <c r="F92" s="86"/>
      <c r="G92" s="86"/>
      <c r="H92" s="86"/>
      <c r="I92" s="87" t="s">
        <v>208</v>
      </c>
      <c r="J92" s="86"/>
      <c r="K92" s="86"/>
      <c r="L92" s="86"/>
      <c r="M92" s="85" t="s">
        <v>209</v>
      </c>
      <c r="N92" s="86"/>
      <c r="O92" s="86"/>
    </row>
    <row r="93" spans="1:15" ht="30" customHeight="1" x14ac:dyDescent="0.75">
      <c r="A93" s="85" t="s">
        <v>210</v>
      </c>
      <c r="B93" s="86"/>
      <c r="C93" s="86"/>
      <c r="D93" s="86"/>
      <c r="E93" s="87" t="s">
        <v>211</v>
      </c>
      <c r="F93" s="86"/>
      <c r="G93" s="86"/>
      <c r="H93" s="86"/>
      <c r="I93" s="87" t="s">
        <v>212</v>
      </c>
      <c r="J93" s="86"/>
      <c r="K93" s="86"/>
      <c r="L93" s="86"/>
      <c r="M93" s="85" t="s">
        <v>213</v>
      </c>
      <c r="N93" s="86"/>
      <c r="O93" s="86"/>
    </row>
    <row r="94" spans="1:15" ht="30" customHeight="1" x14ac:dyDescent="0.75">
      <c r="A94" s="85" t="s">
        <v>214</v>
      </c>
      <c r="B94" s="86"/>
      <c r="C94" s="86"/>
      <c r="D94" s="86"/>
      <c r="E94" s="87" t="s">
        <v>211</v>
      </c>
      <c r="F94" s="86"/>
      <c r="G94" s="86"/>
      <c r="H94" s="86"/>
      <c r="I94" s="87" t="s">
        <v>215</v>
      </c>
      <c r="J94" s="86"/>
      <c r="K94" s="86"/>
      <c r="L94" s="86"/>
      <c r="M94" s="85" t="s">
        <v>216</v>
      </c>
      <c r="N94" s="86"/>
      <c r="O94" s="86"/>
    </row>
    <row r="95" spans="1:15" ht="30" customHeight="1" x14ac:dyDescent="0.75">
      <c r="A95" s="85" t="s">
        <v>217</v>
      </c>
      <c r="B95" s="86"/>
      <c r="C95" s="86"/>
      <c r="D95" s="86"/>
      <c r="E95" s="87" t="s">
        <v>218</v>
      </c>
      <c r="F95" s="86"/>
      <c r="G95" s="86"/>
      <c r="H95" s="86"/>
      <c r="I95" s="87" t="s">
        <v>219</v>
      </c>
      <c r="J95" s="86"/>
      <c r="K95" s="86"/>
      <c r="L95" s="86"/>
      <c r="M95" s="85" t="s">
        <v>220</v>
      </c>
      <c r="N95" s="86"/>
      <c r="O95" s="86"/>
    </row>
    <row r="96" spans="1:15" ht="30" customHeight="1" x14ac:dyDescent="0.75">
      <c r="A96" s="85" t="s">
        <v>221</v>
      </c>
      <c r="B96" s="86"/>
      <c r="C96" s="86"/>
      <c r="D96" s="86"/>
      <c r="E96" s="87" t="s">
        <v>196</v>
      </c>
      <c r="F96" s="86"/>
      <c r="G96" s="86"/>
      <c r="H96" s="86"/>
      <c r="I96" s="87" t="s">
        <v>222</v>
      </c>
      <c r="J96" s="86"/>
      <c r="K96" s="86"/>
      <c r="L96" s="86"/>
      <c r="M96" s="85" t="s">
        <v>223</v>
      </c>
      <c r="N96" s="86"/>
      <c r="O96" s="86"/>
    </row>
    <row r="97" spans="1:15" ht="30" customHeight="1" x14ac:dyDescent="0.75">
      <c r="A97" s="85" t="s">
        <v>224</v>
      </c>
      <c r="B97" s="86"/>
      <c r="C97" s="86"/>
      <c r="D97" s="86"/>
      <c r="E97" s="87" t="s">
        <v>225</v>
      </c>
      <c r="F97" s="86"/>
      <c r="G97" s="86"/>
      <c r="H97" s="86"/>
      <c r="I97" s="87" t="s">
        <v>222</v>
      </c>
      <c r="J97" s="86"/>
      <c r="K97" s="86"/>
      <c r="L97" s="86"/>
      <c r="M97" s="85" t="s">
        <v>226</v>
      </c>
      <c r="N97" s="86"/>
      <c r="O97" s="86"/>
    </row>
    <row r="98" spans="1:15" ht="30" customHeight="1" x14ac:dyDescent="0.75">
      <c r="A98" s="85" t="s">
        <v>227</v>
      </c>
      <c r="B98" s="86"/>
      <c r="C98" s="86"/>
      <c r="D98" s="86"/>
      <c r="E98" s="87" t="s">
        <v>225</v>
      </c>
      <c r="F98" s="86"/>
      <c r="G98" s="86"/>
      <c r="H98" s="86"/>
      <c r="I98" s="87" t="s">
        <v>222</v>
      </c>
      <c r="J98" s="86"/>
      <c r="K98" s="86"/>
      <c r="L98" s="86"/>
      <c r="M98" s="85" t="s">
        <v>228</v>
      </c>
      <c r="N98" s="86"/>
      <c r="O98" s="86"/>
    </row>
    <row r="99" spans="1:15" ht="30" customHeight="1" x14ac:dyDescent="0.75">
      <c r="A99" s="85" t="s">
        <v>229</v>
      </c>
      <c r="B99" s="86"/>
      <c r="C99" s="86"/>
      <c r="D99" s="86"/>
      <c r="E99" s="87" t="s">
        <v>230</v>
      </c>
      <c r="F99" s="86"/>
      <c r="G99" s="86"/>
      <c r="H99" s="86"/>
      <c r="I99" s="87" t="s">
        <v>222</v>
      </c>
      <c r="J99" s="86"/>
      <c r="K99" s="86"/>
      <c r="L99" s="86"/>
      <c r="M99" s="85" t="s">
        <v>231</v>
      </c>
      <c r="N99" s="86"/>
      <c r="O99" s="86"/>
    </row>
    <row r="101" spans="1:15" ht="30" customHeight="1" x14ac:dyDescent="0.75">
      <c r="A101" s="82" t="s">
        <v>232</v>
      </c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</row>
    <row r="102" spans="1:15" ht="30" customHeight="1" x14ac:dyDescent="0.75">
      <c r="A102" s="88" t="s">
        <v>233</v>
      </c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</row>
    <row r="103" spans="1:15" ht="30" customHeight="1" x14ac:dyDescent="0.75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</row>
    <row r="104" spans="1:15" ht="30" customHeight="1" x14ac:dyDescent="0.75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</row>
    <row r="106" spans="1:15" ht="30" customHeight="1" x14ac:dyDescent="0.75">
      <c r="A106" s="82" t="s">
        <v>234</v>
      </c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</row>
    <row r="107" spans="1:15" ht="30" customHeight="1" x14ac:dyDescent="0.75">
      <c r="A107" s="88" t="s">
        <v>235</v>
      </c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</row>
    <row r="109" spans="1:15" ht="30" customHeight="1" x14ac:dyDescent="0.75">
      <c r="A109" s="84" t="s">
        <v>236</v>
      </c>
      <c r="B109" s="84"/>
      <c r="C109" s="84"/>
      <c r="D109" s="84" t="s">
        <v>237</v>
      </c>
      <c r="E109" s="84"/>
      <c r="F109" s="84"/>
      <c r="G109" s="84" t="s">
        <v>238</v>
      </c>
      <c r="H109" s="84"/>
      <c r="I109" s="84"/>
      <c r="J109" s="84" t="s">
        <v>239</v>
      </c>
      <c r="K109" s="84"/>
      <c r="L109" s="84" t="s">
        <v>240</v>
      </c>
      <c r="M109" s="84"/>
      <c r="N109" s="84" t="s">
        <v>241</v>
      </c>
      <c r="O109" s="84"/>
    </row>
    <row r="110" spans="1:15" ht="30" customHeight="1" x14ac:dyDescent="0.75">
      <c r="A110" s="85" t="s">
        <v>242</v>
      </c>
      <c r="B110" s="86"/>
      <c r="C110" s="86"/>
      <c r="D110" s="95">
        <v>59</v>
      </c>
      <c r="E110" s="96"/>
      <c r="F110" s="96"/>
      <c r="G110" s="95">
        <f>D110+11</f>
        <v>70</v>
      </c>
      <c r="H110" s="96"/>
      <c r="I110" s="96"/>
      <c r="J110" s="97">
        <f>J50*G110/(0.55*1000)</f>
        <v>0.13575757575757577</v>
      </c>
      <c r="K110" s="98"/>
      <c r="L110" s="97">
        <f>J110*1.341</f>
        <v>0.1820509090909091</v>
      </c>
      <c r="M110" s="98"/>
      <c r="N110" s="95">
        <f>CEILING(L110*1.5,0.25)</f>
        <v>0.5</v>
      </c>
      <c r="O110" s="96"/>
    </row>
    <row r="111" spans="1:15" ht="30" customHeight="1" x14ac:dyDescent="0.75">
      <c r="A111" s="85" t="s">
        <v>243</v>
      </c>
      <c r="B111" s="86"/>
      <c r="C111" s="86"/>
      <c r="D111" s="95">
        <v>154</v>
      </c>
      <c r="E111" s="96"/>
      <c r="F111" s="96"/>
      <c r="G111" s="95">
        <f>D111+11</f>
        <v>165</v>
      </c>
      <c r="H111" s="96"/>
      <c r="I111" s="96"/>
      <c r="J111" s="97">
        <f>J50*G111/(0.55*1000)</f>
        <v>0.32</v>
      </c>
      <c r="K111" s="98"/>
      <c r="L111" s="97">
        <f>J111*1.341</f>
        <v>0.42912</v>
      </c>
      <c r="M111" s="98"/>
      <c r="N111" s="95">
        <f>CEILING(L111*1.5,0.25)</f>
        <v>0.75</v>
      </c>
      <c r="O111" s="96"/>
    </row>
    <row r="112" spans="1:15" ht="30" customHeight="1" x14ac:dyDescent="0.75">
      <c r="A112" s="85" t="s">
        <v>244</v>
      </c>
      <c r="B112" s="86"/>
      <c r="C112" s="86"/>
      <c r="D112" s="95">
        <v>250</v>
      </c>
      <c r="E112" s="96"/>
      <c r="F112" s="96"/>
      <c r="G112" s="95">
        <f>D112+11</f>
        <v>261</v>
      </c>
      <c r="H112" s="96"/>
      <c r="I112" s="96"/>
      <c r="J112" s="97">
        <f>J50*G112/(0.55*1000)</f>
        <v>0.50618181818181818</v>
      </c>
      <c r="K112" s="98"/>
      <c r="L112" s="97">
        <f>J112*1.341</f>
        <v>0.67878981818181816</v>
      </c>
      <c r="M112" s="98"/>
      <c r="N112" s="95">
        <f>CEILING(L112*1.5,0.25)</f>
        <v>1.25</v>
      </c>
      <c r="O112" s="96"/>
    </row>
    <row r="113" spans="1:15" ht="30" customHeight="1" x14ac:dyDescent="0.75">
      <c r="A113" s="85" t="s">
        <v>245</v>
      </c>
      <c r="B113" s="86"/>
      <c r="C113" s="86"/>
      <c r="D113" s="95">
        <v>600</v>
      </c>
      <c r="E113" s="96"/>
      <c r="F113" s="96"/>
      <c r="G113" s="95">
        <f>D113+11</f>
        <v>611</v>
      </c>
      <c r="H113" s="96"/>
      <c r="I113" s="96"/>
      <c r="J113" s="97">
        <f>J50*G113/(0.55*1000)</f>
        <v>1.184969696969697</v>
      </c>
      <c r="K113" s="98"/>
      <c r="L113" s="97">
        <f>J113*1.341</f>
        <v>1.5890443636363636</v>
      </c>
      <c r="M113" s="98"/>
      <c r="N113" s="95">
        <f>CEILING(L113*1.5,0.25)</f>
        <v>2.5</v>
      </c>
      <c r="O113" s="96"/>
    </row>
    <row r="115" spans="1:15" ht="30" customHeight="1" x14ac:dyDescent="0.75">
      <c r="A115" s="82" t="s">
        <v>246</v>
      </c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</row>
    <row r="116" spans="1:15" ht="30" customHeight="1" x14ac:dyDescent="0.75">
      <c r="A116" s="88" t="s">
        <v>247</v>
      </c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</row>
    <row r="117" spans="1:15" ht="30" customHeight="1" x14ac:dyDescent="0.75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</row>
    <row r="118" spans="1:15" ht="30" customHeight="1" x14ac:dyDescent="0.75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</row>
    <row r="120" spans="1:15" ht="30" customHeight="1" x14ac:dyDescent="0.75">
      <c r="A120" s="82" t="s">
        <v>248</v>
      </c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</row>
    <row r="122" spans="1:15" ht="30" customHeight="1" x14ac:dyDescent="0.75">
      <c r="A122" s="84" t="s">
        <v>62</v>
      </c>
      <c r="B122" s="84"/>
      <c r="C122" s="84"/>
      <c r="D122" s="84"/>
      <c r="E122" s="84" t="s">
        <v>35</v>
      </c>
      <c r="F122" s="84"/>
      <c r="G122" s="84"/>
      <c r="H122" s="84"/>
      <c r="I122" s="84" t="s">
        <v>36</v>
      </c>
      <c r="J122" s="84"/>
      <c r="K122" s="84"/>
      <c r="L122" s="84"/>
      <c r="M122" s="84" t="s">
        <v>37</v>
      </c>
      <c r="N122" s="84"/>
      <c r="O122" s="84"/>
    </row>
    <row r="123" spans="1:15" ht="30" customHeight="1" x14ac:dyDescent="0.75">
      <c r="A123" s="85" t="s">
        <v>168</v>
      </c>
      <c r="B123" s="86"/>
      <c r="C123" s="86"/>
      <c r="D123" s="86"/>
      <c r="E123" s="93">
        <f>J47</f>
        <v>64</v>
      </c>
      <c r="F123" s="94"/>
      <c r="G123" s="94"/>
      <c r="H123" s="94"/>
      <c r="I123" s="87" t="s">
        <v>111</v>
      </c>
      <c r="J123" s="86"/>
      <c r="K123" s="86"/>
      <c r="L123" s="86"/>
      <c r="M123" s="85" t="s">
        <v>169</v>
      </c>
      <c r="N123" s="86"/>
      <c r="O123" s="86"/>
    </row>
    <row r="124" spans="1:15" ht="30" customHeight="1" x14ac:dyDescent="0.75">
      <c r="A124" s="85" t="s">
        <v>168</v>
      </c>
      <c r="B124" s="86"/>
      <c r="C124" s="86"/>
      <c r="D124" s="86"/>
      <c r="E124" s="93">
        <f>J48</f>
        <v>3840</v>
      </c>
      <c r="F124" s="94"/>
      <c r="G124" s="94"/>
      <c r="H124" s="94"/>
      <c r="I124" s="87" t="s">
        <v>115</v>
      </c>
      <c r="J124" s="86"/>
      <c r="K124" s="86"/>
      <c r="L124" s="86"/>
      <c r="M124" s="85" t="s">
        <v>170</v>
      </c>
      <c r="N124" s="86"/>
      <c r="O124" s="86"/>
    </row>
    <row r="125" spans="1:15" ht="30" customHeight="1" x14ac:dyDescent="0.75">
      <c r="A125" s="85" t="s">
        <v>168</v>
      </c>
      <c r="B125" s="86"/>
      <c r="C125" s="86"/>
      <c r="D125" s="86"/>
      <c r="E125" s="93">
        <f>J49</f>
        <v>2260.1408000000001</v>
      </c>
      <c r="F125" s="94"/>
      <c r="G125" s="94"/>
      <c r="H125" s="94"/>
      <c r="I125" s="87" t="s">
        <v>119</v>
      </c>
      <c r="J125" s="86"/>
      <c r="K125" s="86"/>
      <c r="L125" s="86"/>
      <c r="M125" s="85" t="s">
        <v>171</v>
      </c>
      <c r="N125" s="86"/>
      <c r="O125" s="86"/>
    </row>
    <row r="126" spans="1:15" ht="30" customHeight="1" x14ac:dyDescent="0.75">
      <c r="A126" s="85" t="s">
        <v>125</v>
      </c>
      <c r="B126" s="86"/>
      <c r="C126" s="86"/>
      <c r="D126" s="86"/>
      <c r="E126" s="93">
        <f>J51</f>
        <v>0.32</v>
      </c>
      <c r="F126" s="94"/>
      <c r="G126" s="94"/>
      <c r="H126" s="94"/>
      <c r="I126" s="87" t="s">
        <v>127</v>
      </c>
      <c r="J126" s="86"/>
      <c r="K126" s="86"/>
      <c r="L126" s="86"/>
      <c r="M126" s="85" t="s">
        <v>249</v>
      </c>
      <c r="N126" s="86"/>
      <c r="O126" s="86"/>
    </row>
    <row r="127" spans="1:15" ht="30" customHeight="1" x14ac:dyDescent="0.75">
      <c r="A127" s="85" t="s">
        <v>125</v>
      </c>
      <c r="B127" s="86"/>
      <c r="C127" s="86"/>
      <c r="D127" s="86"/>
      <c r="E127" s="93">
        <f>J52</f>
        <v>0.42912</v>
      </c>
      <c r="F127" s="94"/>
      <c r="G127" s="94"/>
      <c r="H127" s="94"/>
      <c r="I127" s="87" t="s">
        <v>131</v>
      </c>
      <c r="J127" s="86"/>
      <c r="K127" s="86"/>
      <c r="L127" s="86"/>
      <c r="M127" s="85" t="s">
        <v>173</v>
      </c>
      <c r="N127" s="86"/>
      <c r="O127" s="86"/>
    </row>
    <row r="128" spans="1:15" ht="30" customHeight="1" x14ac:dyDescent="0.75">
      <c r="A128" s="85" t="s">
        <v>174</v>
      </c>
      <c r="B128" s="86"/>
      <c r="C128" s="86"/>
      <c r="D128" s="86"/>
      <c r="E128" s="93">
        <f>CEILING(J52*1.5,0.25)</f>
        <v>0.75</v>
      </c>
      <c r="F128" s="94"/>
      <c r="G128" s="94"/>
      <c r="H128" s="94"/>
      <c r="I128" s="87" t="s">
        <v>131</v>
      </c>
      <c r="J128" s="86"/>
      <c r="K128" s="86"/>
      <c r="L128" s="86"/>
      <c r="M128" s="85" t="s">
        <v>250</v>
      </c>
      <c r="N128" s="86"/>
      <c r="O128" s="86"/>
    </row>
    <row r="129" spans="1:15" ht="30" customHeight="1" x14ac:dyDescent="0.75">
      <c r="A129" s="85" t="s">
        <v>133</v>
      </c>
      <c r="B129" s="86"/>
      <c r="C129" s="86"/>
      <c r="D129" s="86"/>
      <c r="E129" s="93">
        <f>J53</f>
        <v>0.13333333333333333</v>
      </c>
      <c r="F129" s="94"/>
      <c r="G129" s="94"/>
      <c r="H129" s="94"/>
      <c r="I129" s="87" t="s">
        <v>135</v>
      </c>
      <c r="J129" s="86"/>
      <c r="K129" s="86"/>
      <c r="L129" s="86"/>
      <c r="M129" s="85" t="s">
        <v>176</v>
      </c>
      <c r="N129" s="86"/>
      <c r="O129" s="86"/>
    </row>
    <row r="130" spans="1:15" ht="30" customHeight="1" x14ac:dyDescent="0.75">
      <c r="A130" s="85" t="s">
        <v>137</v>
      </c>
      <c r="B130" s="86"/>
      <c r="C130" s="86"/>
      <c r="D130" s="86"/>
      <c r="E130" s="93">
        <f>J54</f>
        <v>0.41202581549140221</v>
      </c>
      <c r="F130" s="94"/>
      <c r="G130" s="94"/>
      <c r="H130" s="94"/>
      <c r="I130" s="87" t="s">
        <v>139</v>
      </c>
      <c r="J130" s="86"/>
      <c r="K130" s="86"/>
      <c r="L130" s="86"/>
      <c r="M130" s="85" t="s">
        <v>177</v>
      </c>
      <c r="N130" s="86"/>
      <c r="O130" s="86"/>
    </row>
    <row r="131" spans="1:15" ht="30" customHeight="1" x14ac:dyDescent="0.75">
      <c r="A131" s="85" t="s">
        <v>178</v>
      </c>
      <c r="B131" s="86"/>
      <c r="C131" s="86"/>
      <c r="D131" s="86"/>
      <c r="E131" s="93">
        <f>J56</f>
        <v>206.01290774570111</v>
      </c>
      <c r="F131" s="94"/>
      <c r="G131" s="94"/>
      <c r="H131" s="94"/>
      <c r="I131" s="87" t="s">
        <v>146</v>
      </c>
      <c r="J131" s="86"/>
      <c r="K131" s="86"/>
      <c r="L131" s="86"/>
      <c r="M131" s="85" t="s">
        <v>179</v>
      </c>
      <c r="N131" s="86"/>
      <c r="O131" s="86"/>
    </row>
    <row r="132" spans="1:15" ht="30" customHeight="1" x14ac:dyDescent="0.75">
      <c r="A132" s="85" t="s">
        <v>180</v>
      </c>
      <c r="B132" s="86"/>
      <c r="C132" s="86"/>
      <c r="D132" s="86"/>
      <c r="E132" s="93">
        <f>G32</f>
        <v>8</v>
      </c>
      <c r="F132" s="94"/>
      <c r="G132" s="94"/>
      <c r="H132" s="94"/>
      <c r="I132" s="87" t="s">
        <v>80</v>
      </c>
      <c r="J132" s="86"/>
      <c r="K132" s="86"/>
      <c r="L132" s="86"/>
      <c r="M132" s="85" t="s">
        <v>181</v>
      </c>
      <c r="N132" s="86"/>
      <c r="O132" s="86"/>
    </row>
    <row r="133" spans="1:15" ht="30" customHeight="1" x14ac:dyDescent="0.75">
      <c r="A133" s="85" t="s">
        <v>148</v>
      </c>
      <c r="B133" s="86"/>
      <c r="C133" s="86"/>
      <c r="D133" s="86"/>
      <c r="E133" s="93">
        <f>J57</f>
        <v>0.35555555555555557</v>
      </c>
      <c r="F133" s="94"/>
      <c r="G133" s="94"/>
      <c r="H133" s="94"/>
      <c r="I133" s="87" t="s">
        <v>135</v>
      </c>
      <c r="J133" s="86"/>
      <c r="K133" s="86"/>
      <c r="L133" s="86"/>
      <c r="M133" s="85" t="s">
        <v>182</v>
      </c>
      <c r="N133" s="86"/>
      <c r="O133" s="86"/>
    </row>
    <row r="134" spans="1:15" ht="30" customHeight="1" x14ac:dyDescent="0.75">
      <c r="A134" s="85" t="s">
        <v>85</v>
      </c>
      <c r="B134" s="86"/>
      <c r="C134" s="86"/>
      <c r="D134" s="86"/>
      <c r="E134" s="93">
        <f>G34</f>
        <v>3</v>
      </c>
      <c r="F134" s="94"/>
      <c r="G134" s="94"/>
      <c r="H134" s="94"/>
      <c r="I134" s="87" t="s">
        <v>87</v>
      </c>
      <c r="J134" s="86"/>
      <c r="K134" s="86"/>
      <c r="L134" s="86"/>
      <c r="M134" s="85" t="s">
        <v>88</v>
      </c>
      <c r="N134" s="86"/>
      <c r="O134" s="86"/>
    </row>
    <row r="135" spans="1:15" ht="30" customHeight="1" x14ac:dyDescent="0.75">
      <c r="A135" s="85" t="s">
        <v>150</v>
      </c>
      <c r="B135" s="86"/>
      <c r="C135" s="86"/>
      <c r="D135" s="86"/>
      <c r="E135" s="93">
        <f>J58</f>
        <v>0.11851851851851852</v>
      </c>
      <c r="F135" s="94"/>
      <c r="G135" s="94"/>
      <c r="H135" s="94"/>
      <c r="I135" s="87" t="s">
        <v>135</v>
      </c>
      <c r="J135" s="86"/>
      <c r="K135" s="86"/>
      <c r="L135" s="86"/>
      <c r="M135" s="85" t="s">
        <v>183</v>
      </c>
      <c r="N135" s="86"/>
      <c r="O135" s="86"/>
    </row>
    <row r="136" spans="1:15" ht="30" customHeight="1" x14ac:dyDescent="0.75">
      <c r="A136" s="85" t="s">
        <v>184</v>
      </c>
      <c r="B136" s="86"/>
      <c r="C136" s="86"/>
      <c r="D136" s="86"/>
      <c r="E136" s="93">
        <f>J61</f>
        <v>353.20862855067838</v>
      </c>
      <c r="F136" s="94"/>
      <c r="G136" s="94"/>
      <c r="H136" s="94"/>
      <c r="I136" s="87" t="s">
        <v>146</v>
      </c>
      <c r="J136" s="86"/>
      <c r="K136" s="86"/>
      <c r="L136" s="86"/>
      <c r="M136" s="85" t="s">
        <v>185</v>
      </c>
      <c r="N136" s="86"/>
      <c r="O136" s="86"/>
    </row>
    <row r="137" spans="1:15" ht="30" customHeight="1" x14ac:dyDescent="0.75">
      <c r="A137" s="85" t="s">
        <v>186</v>
      </c>
      <c r="B137" s="86"/>
      <c r="C137" s="86"/>
      <c r="D137" s="86"/>
      <c r="E137" s="93">
        <f>J62</f>
        <v>335.5481971231444</v>
      </c>
      <c r="F137" s="94"/>
      <c r="G137" s="94"/>
      <c r="H137" s="94"/>
      <c r="I137" s="87" t="s">
        <v>146</v>
      </c>
      <c r="J137" s="86"/>
      <c r="K137" s="86"/>
      <c r="L137" s="86"/>
      <c r="M137" s="85" t="s">
        <v>185</v>
      </c>
      <c r="N137" s="86"/>
      <c r="O137" s="86"/>
    </row>
    <row r="138" spans="1:15" ht="30" customHeight="1" x14ac:dyDescent="0.75">
      <c r="A138" s="85" t="s">
        <v>187</v>
      </c>
      <c r="B138" s="86"/>
      <c r="C138" s="86"/>
      <c r="D138" s="86"/>
      <c r="E138" s="93">
        <f>G33</f>
        <v>3</v>
      </c>
      <c r="F138" s="94"/>
      <c r="G138" s="94"/>
      <c r="H138" s="94"/>
      <c r="I138" s="87" t="s">
        <v>80</v>
      </c>
      <c r="J138" s="86"/>
      <c r="K138" s="86"/>
      <c r="L138" s="86"/>
      <c r="M138" s="85" t="s">
        <v>251</v>
      </c>
      <c r="N138" s="86"/>
      <c r="O138" s="86"/>
    </row>
    <row r="139" spans="1:15" ht="30" customHeight="1" x14ac:dyDescent="0.75">
      <c r="A139" s="85" t="s">
        <v>189</v>
      </c>
      <c r="B139" s="86"/>
      <c r="C139" s="86"/>
      <c r="D139" s="86"/>
      <c r="E139" s="93">
        <f>J63</f>
        <v>11</v>
      </c>
      <c r="F139" s="94"/>
      <c r="G139" s="94"/>
      <c r="H139" s="94"/>
      <c r="I139" s="87" t="s">
        <v>73</v>
      </c>
      <c r="J139" s="86"/>
      <c r="K139" s="86"/>
      <c r="L139" s="86"/>
      <c r="M139" s="85" t="s">
        <v>190</v>
      </c>
      <c r="N139" s="86"/>
      <c r="O139" s="86"/>
    </row>
    <row r="141" spans="1:15" ht="30" customHeight="1" x14ac:dyDescent="0.75">
      <c r="A141" s="82" t="s">
        <v>246</v>
      </c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</row>
    <row r="142" spans="1:15" ht="30" customHeight="1" x14ac:dyDescent="0.75">
      <c r="A142" s="88" t="s">
        <v>252</v>
      </c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</row>
    <row r="143" spans="1:15" ht="30" customHeight="1" x14ac:dyDescent="0.75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</row>
    <row r="144" spans="1:15" ht="30" customHeight="1" x14ac:dyDescent="0.75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</row>
  </sheetData>
  <mergeCells count="445">
    <mergeCell ref="C4:L6"/>
    <mergeCell ref="G61:I61"/>
    <mergeCell ref="L49:M49"/>
    <mergeCell ref="G48:I48"/>
    <mergeCell ref="N49:O49"/>
    <mergeCell ref="D52:F52"/>
    <mergeCell ref="E77:H77"/>
    <mergeCell ref="E133:H133"/>
    <mergeCell ref="C1:L1"/>
    <mergeCell ref="M129:O129"/>
    <mergeCell ref="M79:O79"/>
    <mergeCell ref="J34:L34"/>
    <mergeCell ref="M73:O73"/>
    <mergeCell ref="M137:O137"/>
    <mergeCell ref="J36:L36"/>
    <mergeCell ref="A96:D96"/>
    <mergeCell ref="M74:O74"/>
    <mergeCell ref="G33:I33"/>
    <mergeCell ref="A33:C33"/>
    <mergeCell ref="J31:L31"/>
    <mergeCell ref="G35:I35"/>
    <mergeCell ref="A35:C35"/>
    <mergeCell ref="A123:D123"/>
    <mergeCell ref="J54:K54"/>
    <mergeCell ref="L54:M54"/>
    <mergeCell ref="G59:I59"/>
    <mergeCell ref="D63:F63"/>
    <mergeCell ref="M92:O92"/>
    <mergeCell ref="J56:K56"/>
    <mergeCell ref="L56:M56"/>
    <mergeCell ref="A18:D18"/>
    <mergeCell ref="E69:H69"/>
    <mergeCell ref="M17:O17"/>
    <mergeCell ref="N58:O58"/>
    <mergeCell ref="E68:H68"/>
    <mergeCell ref="M126:O126"/>
    <mergeCell ref="E130:H130"/>
    <mergeCell ref="G109:I109"/>
    <mergeCell ref="G47:I47"/>
    <mergeCell ref="A112:C112"/>
    <mergeCell ref="D113:F113"/>
    <mergeCell ref="G46:I46"/>
    <mergeCell ref="D50:F50"/>
    <mergeCell ref="G111:I111"/>
    <mergeCell ref="C2:L3"/>
    <mergeCell ref="I136:L136"/>
    <mergeCell ref="E98:H98"/>
    <mergeCell ref="A70:D70"/>
    <mergeCell ref="D29:F29"/>
    <mergeCell ref="I129:L129"/>
    <mergeCell ref="A99:D99"/>
    <mergeCell ref="I131:L131"/>
    <mergeCell ref="M123:O123"/>
    <mergeCell ref="I83:L83"/>
    <mergeCell ref="G37:I37"/>
    <mergeCell ref="N63:O63"/>
    <mergeCell ref="E91:H91"/>
    <mergeCell ref="N50:O50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E122:H122"/>
    <mergeCell ref="A1:A5"/>
    <mergeCell ref="A80:D80"/>
    <mergeCell ref="A61:C61"/>
    <mergeCell ref="E95:H95"/>
    <mergeCell ref="E89:H89"/>
    <mergeCell ref="A54:C54"/>
    <mergeCell ref="M13:O13"/>
    <mergeCell ref="A27:C27"/>
    <mergeCell ref="A56:C56"/>
    <mergeCell ref="E72:H72"/>
    <mergeCell ref="M36:O36"/>
    <mergeCell ref="L62:M62"/>
    <mergeCell ref="N62:O62"/>
    <mergeCell ref="E17:H17"/>
    <mergeCell ref="L51:M51"/>
    <mergeCell ref="N57:O57"/>
    <mergeCell ref="A84:D84"/>
    <mergeCell ref="I75:L75"/>
    <mergeCell ref="A75:D75"/>
    <mergeCell ref="A36:C36"/>
    <mergeCell ref="I12:L12"/>
    <mergeCell ref="I14:L14"/>
    <mergeCell ref="J27:L27"/>
    <mergeCell ref="I78:L78"/>
    <mergeCell ref="A28:C28"/>
    <mergeCell ref="E92:H92"/>
    <mergeCell ref="M125:O125"/>
    <mergeCell ref="A78:D78"/>
    <mergeCell ref="A30:C30"/>
    <mergeCell ref="N59:O59"/>
    <mergeCell ref="A59:C59"/>
    <mergeCell ref="E94:H94"/>
    <mergeCell ref="M127:O127"/>
    <mergeCell ref="N110:O110"/>
    <mergeCell ref="E126:H126"/>
    <mergeCell ref="A81:D81"/>
    <mergeCell ref="A120:O120"/>
    <mergeCell ref="E97:H97"/>
    <mergeCell ref="D28:F28"/>
    <mergeCell ref="E96:H96"/>
    <mergeCell ref="I90:L90"/>
    <mergeCell ref="D30:F30"/>
    <mergeCell ref="I80:L80"/>
    <mergeCell ref="M29:O29"/>
    <mergeCell ref="G32:I32"/>
    <mergeCell ref="J33:L33"/>
    <mergeCell ref="D54:F54"/>
    <mergeCell ref="M71:O71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D58:F58"/>
    <mergeCell ref="I128:L128"/>
    <mergeCell ref="M128:O128"/>
    <mergeCell ref="M134:O134"/>
    <mergeCell ref="G27:I27"/>
    <mergeCell ref="J28:L28"/>
    <mergeCell ref="D31:F31"/>
    <mergeCell ref="J51:K51"/>
    <mergeCell ref="A71:D71"/>
    <mergeCell ref="J30:L30"/>
    <mergeCell ref="N55:O55"/>
    <mergeCell ref="J111:K111"/>
    <mergeCell ref="D32:F32"/>
    <mergeCell ref="I99:L99"/>
    <mergeCell ref="M124:O124"/>
    <mergeCell ref="A142:O144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A83:D83"/>
    <mergeCell ref="A62:C62"/>
    <mergeCell ref="E139:H139"/>
    <mergeCell ref="I74:L74"/>
    <mergeCell ref="A77:D77"/>
    <mergeCell ref="E135:H135"/>
    <mergeCell ref="E132:H132"/>
    <mergeCell ref="M139:O139"/>
    <mergeCell ref="E138:H138"/>
    <mergeCell ref="E137:H137"/>
    <mergeCell ref="E74:H74"/>
    <mergeCell ref="I130:L130"/>
    <mergeCell ref="I68:L68"/>
    <mergeCell ref="J58:K58"/>
    <mergeCell ref="B1:B5"/>
    <mergeCell ref="D57:F57"/>
    <mergeCell ref="I132:L132"/>
    <mergeCell ref="A135:D135"/>
    <mergeCell ref="A86:O86"/>
    <mergeCell ref="A42:O42"/>
    <mergeCell ref="G55:I55"/>
    <mergeCell ref="A116:O118"/>
    <mergeCell ref="E67:H67"/>
    <mergeCell ref="A88:D88"/>
    <mergeCell ref="D110:F110"/>
    <mergeCell ref="D60:F60"/>
    <mergeCell ref="I125:L125"/>
    <mergeCell ref="A128:D128"/>
    <mergeCell ref="A90:D90"/>
    <mergeCell ref="A51:C51"/>
    <mergeCell ref="L59:M59"/>
    <mergeCell ref="I122:L122"/>
    <mergeCell ref="A136:D136"/>
    <mergeCell ref="N1:O1"/>
    <mergeCell ref="A138:D138"/>
    <mergeCell ref="A132:D132"/>
    <mergeCell ref="E83:H83"/>
    <mergeCell ref="A111:C111"/>
    <mergeCell ref="J63:K63"/>
    <mergeCell ref="I91:L91"/>
    <mergeCell ref="L63:M63"/>
    <mergeCell ref="M34:O34"/>
    <mergeCell ref="A48:C48"/>
    <mergeCell ref="J47:K47"/>
    <mergeCell ref="M83:O83"/>
    <mergeCell ref="J109:K109"/>
    <mergeCell ref="I93:L93"/>
    <mergeCell ref="M78:O78"/>
    <mergeCell ref="D49:F49"/>
    <mergeCell ref="A37:C37"/>
    <mergeCell ref="J35:L35"/>
    <mergeCell ref="A13:D13"/>
    <mergeCell ref="J60:K60"/>
    <mergeCell ref="J53:K53"/>
    <mergeCell ref="A15:D15"/>
    <mergeCell ref="E71:H71"/>
    <mergeCell ref="G63:I63"/>
    <mergeCell ref="A12:D12"/>
    <mergeCell ref="D36:F36"/>
    <mergeCell ref="M88:O88"/>
    <mergeCell ref="J52:K52"/>
    <mergeCell ref="M82:O82"/>
    <mergeCell ref="A14:D14"/>
    <mergeCell ref="E70:H70"/>
    <mergeCell ref="G57:I57"/>
    <mergeCell ref="D61:F61"/>
    <mergeCell ref="D48:F48"/>
    <mergeCell ref="G49:I49"/>
    <mergeCell ref="D62:F62"/>
    <mergeCell ref="D56:F56"/>
    <mergeCell ref="A53:C53"/>
    <mergeCell ref="G50:I50"/>
    <mergeCell ref="A63:C63"/>
    <mergeCell ref="E79:H79"/>
    <mergeCell ref="E73:H73"/>
    <mergeCell ref="A44:O44"/>
    <mergeCell ref="G52:I52"/>
    <mergeCell ref="M84:O84"/>
    <mergeCell ref="M75:O75"/>
    <mergeCell ref="M15:O15"/>
    <mergeCell ref="M80:O80"/>
    <mergeCell ref="N6:O6"/>
    <mergeCell ref="J37:L37"/>
    <mergeCell ref="D46:F46"/>
    <mergeCell ref="D111:F111"/>
    <mergeCell ref="N4:O4"/>
    <mergeCell ref="M138:O138"/>
    <mergeCell ref="I17:L17"/>
    <mergeCell ref="I88:L88"/>
    <mergeCell ref="A91:D91"/>
    <mergeCell ref="E124:H124"/>
    <mergeCell ref="I82:L82"/>
    <mergeCell ref="G34:I34"/>
    <mergeCell ref="A93:D93"/>
    <mergeCell ref="A68:D68"/>
    <mergeCell ref="M77:O77"/>
    <mergeCell ref="M133:O133"/>
    <mergeCell ref="J32:L32"/>
    <mergeCell ref="M33:O33"/>
    <mergeCell ref="A47:C47"/>
    <mergeCell ref="G113:I113"/>
    <mergeCell ref="M135:O135"/>
    <mergeCell ref="G29:I29"/>
    <mergeCell ref="D33:F33"/>
    <mergeCell ref="E123:H123"/>
    <mergeCell ref="M14:O14"/>
    <mergeCell ref="E127:H127"/>
    <mergeCell ref="G54:I54"/>
    <mergeCell ref="A20:O20"/>
    <mergeCell ref="I135:L135"/>
    <mergeCell ref="M122:O122"/>
    <mergeCell ref="G56:I56"/>
    <mergeCell ref="I72:L72"/>
    <mergeCell ref="D109:F109"/>
    <mergeCell ref="A115:O115"/>
    <mergeCell ref="G31:I31"/>
    <mergeCell ref="D35:F35"/>
    <mergeCell ref="D59:F59"/>
    <mergeCell ref="J113:K113"/>
    <mergeCell ref="L113:M113"/>
    <mergeCell ref="D34:F34"/>
    <mergeCell ref="A39:O39"/>
    <mergeCell ref="I97:L97"/>
    <mergeCell ref="J50:K50"/>
    <mergeCell ref="M90:O90"/>
    <mergeCell ref="E134:H134"/>
    <mergeCell ref="D112:F112"/>
    <mergeCell ref="A130:D130"/>
    <mergeCell ref="A109:C109"/>
    <mergeCell ref="N51:O51"/>
    <mergeCell ref="E136:H136"/>
    <mergeCell ref="G30:I30"/>
    <mergeCell ref="I94:L94"/>
    <mergeCell ref="A101:O101"/>
    <mergeCell ref="M37:O37"/>
    <mergeCell ref="A32:C32"/>
    <mergeCell ref="J49:K49"/>
    <mergeCell ref="I77:L77"/>
    <mergeCell ref="I133:L133"/>
    <mergeCell ref="I95:L95"/>
    <mergeCell ref="A98:D98"/>
    <mergeCell ref="I89:L89"/>
    <mergeCell ref="N111:O111"/>
    <mergeCell ref="L109:M109"/>
    <mergeCell ref="M131:O131"/>
    <mergeCell ref="J46:K46"/>
    <mergeCell ref="I127:L127"/>
    <mergeCell ref="L46:M46"/>
    <mergeCell ref="L111:M111"/>
    <mergeCell ref="M12:O12"/>
    <mergeCell ref="N53:O53"/>
    <mergeCell ref="E125:H125"/>
    <mergeCell ref="N3:O3"/>
    <mergeCell ref="D37:F37"/>
    <mergeCell ref="N46:O46"/>
    <mergeCell ref="I81:L81"/>
    <mergeCell ref="E129:H129"/>
    <mergeCell ref="N61:O61"/>
    <mergeCell ref="N5:O5"/>
    <mergeCell ref="A106:O106"/>
    <mergeCell ref="N48:O48"/>
    <mergeCell ref="I16:L16"/>
    <mergeCell ref="I76:L76"/>
    <mergeCell ref="A16:D16"/>
    <mergeCell ref="J29:L29"/>
    <mergeCell ref="M68:O68"/>
    <mergeCell ref="I18:L18"/>
    <mergeCell ref="M67:O67"/>
    <mergeCell ref="E99:H99"/>
    <mergeCell ref="J110:K110"/>
    <mergeCell ref="L110:M110"/>
    <mergeCell ref="M69:O69"/>
    <mergeCell ref="D27:F27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I67:L67"/>
    <mergeCell ref="A122:D122"/>
    <mergeCell ref="A97:D97"/>
    <mergeCell ref="A46:C46"/>
    <mergeCell ref="A72:D72"/>
    <mergeCell ref="L53:M53"/>
    <mergeCell ref="E131:H131"/>
    <mergeCell ref="M130:O130"/>
    <mergeCell ref="M132:O132"/>
    <mergeCell ref="G28:I28"/>
    <mergeCell ref="I126:L126"/>
    <mergeCell ref="L50:M50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A89:D89"/>
    <mergeCell ref="M98:O98"/>
    <mergeCell ref="A11:O11"/>
    <mergeCell ref="E15:H15"/>
    <mergeCell ref="E80:H80"/>
    <mergeCell ref="A65:O65"/>
    <mergeCell ref="N109:O109"/>
    <mergeCell ref="I79:L79"/>
    <mergeCell ref="N47:O47"/>
    <mergeCell ref="I73:L73"/>
    <mergeCell ref="J112:K112"/>
    <mergeCell ref="M16:O16"/>
    <mergeCell ref="E81:H81"/>
    <mergeCell ref="E12:H12"/>
    <mergeCell ref="A141:O141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A102:O104"/>
    <mergeCell ref="I134:L134"/>
    <mergeCell ref="A137:D137"/>
    <mergeCell ref="A60:C60"/>
    <mergeCell ref="I96:L96"/>
    <mergeCell ref="I71:L71"/>
    <mergeCell ref="A74:D74"/>
    <mergeCell ref="A139:D139"/>
    <mergeCell ref="E90:H90"/>
    <mergeCell ref="I98:L98"/>
    <mergeCell ref="A76:D76"/>
    <mergeCell ref="J62:K62"/>
    <mergeCell ref="A17:D17"/>
    <mergeCell ref="M94:O94"/>
    <mergeCell ref="I123:L123"/>
    <mergeCell ref="A126:D126"/>
    <mergeCell ref="M31:O31"/>
    <mergeCell ref="J57:K57"/>
    <mergeCell ref="L57:M57"/>
    <mergeCell ref="A55:C55"/>
    <mergeCell ref="E75:H75"/>
    <mergeCell ref="M95:O95"/>
    <mergeCell ref="M89:O89"/>
    <mergeCell ref="A41:O41"/>
    <mergeCell ref="A50:C50"/>
    <mergeCell ref="L47:M47"/>
    <mergeCell ref="G58:I58"/>
    <mergeCell ref="A92:D92"/>
    <mergeCell ref="G110:I110"/>
    <mergeCell ref="I124:L124"/>
    <mergeCell ref="D51:F51"/>
    <mergeCell ref="A94:D94"/>
    <mergeCell ref="M32:O32"/>
    <mergeCell ref="L58:M58"/>
    <mergeCell ref="A69:D69"/>
    <mergeCell ref="A25:O25"/>
    <mergeCell ref="G112:I112"/>
    <mergeCell ref="N113:O113"/>
    <mergeCell ref="G62:I62"/>
    <mergeCell ref="A134:D134"/>
    <mergeCell ref="J59:K59"/>
    <mergeCell ref="D53:F53"/>
    <mergeCell ref="M81:O81"/>
    <mergeCell ref="D47:F47"/>
    <mergeCell ref="A57:C57"/>
    <mergeCell ref="A113:C113"/>
    <mergeCell ref="A73:D73"/>
    <mergeCell ref="M76:O76"/>
    <mergeCell ref="A52:C52"/>
    <mergeCell ref="E88:H88"/>
    <mergeCell ref="A124:D124"/>
    <mergeCell ref="E82:H82"/>
    <mergeCell ref="A34:C34"/>
    <mergeCell ref="A40:O40"/>
    <mergeCell ref="E128:H128"/>
    <mergeCell ref="G36:I36"/>
    <mergeCell ref="A49:C49"/>
    <mergeCell ref="A107:O107"/>
    <mergeCell ref="A110:C110"/>
  </mergeCells>
  <printOptions horizontalCentered="1"/>
  <pageMargins left="0.23622047244094491" right="0.23622047244094491" top="0.74803149606299213" bottom="0.74803149606299213" header="0.31496062992125984" footer="0.31496062992125984"/>
  <pageSetup paperSize="8" scale="3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PORTADA</vt:lpstr>
      <vt:lpstr>MEMORIA DE CÁLCULO</vt:lpstr>
      <vt:lpstr>'MEMORIA DE CÁLCULO'!Área_de_impresión</vt:lpstr>
      <vt:lpstr>PORTADA!Área_de_impresión</vt:lpstr>
      <vt:lpstr>'MEMORIA DE CÁLCULO'!Títulos_a_imprimir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Arboleda Genes</dc:creator>
  <cp:lastModifiedBy>JAG DESIGN</cp:lastModifiedBy>
  <cp:lastPrinted>2026-07-27T16:07:35Z</cp:lastPrinted>
  <dcterms:created xsi:type="dcterms:W3CDTF">2022-01-25T18:39:15Z</dcterms:created>
  <dcterms:modified xsi:type="dcterms:W3CDTF">2026-07-27T16:07:57Z</dcterms:modified>
</cp:coreProperties>
</file>