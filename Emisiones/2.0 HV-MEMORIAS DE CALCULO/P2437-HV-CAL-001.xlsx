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MEMORIA DE CÁLCULO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0000000000"/>
    <numFmt numFmtId="166" formatCode="0.0000"/>
    <numFmt numFmtId="167" formatCode="0.000"/>
  </numFmts>
  <fonts count="33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name val="Times New Roman"/>
      <b val="1"/>
      <color rgb="001F4E78"/>
      <sz val="14"/>
    </font>
    <font>
      <name val="Times New Roman"/>
      <b val="1"/>
      <color rgb="001F4E78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color rgb="00000000"/>
    </font>
    <font>
      <name val="Times New Roman"/>
      <b val="1"/>
      <color rgb="00000080"/>
    </font>
    <font>
      <name val="Times New Roman"/>
      <b val="1"/>
      <color rgb="00006100"/>
    </font>
    <font>
      <name val="Times New Roman"/>
      <b val="1"/>
      <color theme="1"/>
      <sz val="15"/>
    </font>
    <font>
      <name val="Times New Roman"/>
      <b val="1"/>
      <i val="1"/>
      <color theme="1"/>
      <sz val="15"/>
    </font>
    <font>
      <name val="Times New Roman"/>
      <color theme="1"/>
      <sz val="11"/>
    </font>
    <font>
      <name val="Times New Roman"/>
      <color theme="1"/>
      <sz val="15"/>
    </font>
    <font>
      <name val="Times New Roman"/>
      <b val="1"/>
      <color theme="1"/>
      <sz val="16"/>
    </font>
    <font>
      <name val="Times New Roman"/>
      <color rgb="FF00B050"/>
      <sz val="12"/>
    </font>
    <font>
      <name val="Times New Roman"/>
      <b val="1"/>
      <sz val="12"/>
    </font>
    <font>
      <name val="Times New Roman"/>
      <color theme="1"/>
      <sz val="12"/>
    </font>
    <font>
      <name val="Times New Roman"/>
      <b val="1"/>
      <color theme="1"/>
      <sz val="12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98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29" fillId="0" borderId="1" applyAlignment="1" pivotButton="0" quotePrefix="0" xfId="1">
      <alignment horizontal="center"/>
    </xf>
    <xf numFmtId="0" fontId="26" fillId="0" borderId="2" pivotButton="0" quotePrefix="0" xfId="0"/>
    <xf numFmtId="0" fontId="26" fillId="0" borderId="4" pivotButton="0" quotePrefix="0" xfId="0"/>
    <xf numFmtId="0" fontId="29" fillId="0" borderId="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26" fillId="0" borderId="3" pivotButton="0" quotePrefix="0" xfId="0"/>
    <xf numFmtId="0" fontId="26" fillId="0" borderId="0" pivotButton="0" quotePrefix="0" xfId="0"/>
    <xf numFmtId="0" fontId="26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6" fillId="0" borderId="6" pivotButton="0" quotePrefix="0" xfId="0"/>
    <xf numFmtId="0" fontId="26" fillId="0" borderId="7" pivotButton="0" quotePrefix="0" xfId="0"/>
    <xf numFmtId="0" fontId="26" fillId="0" borderId="8" pivotButton="0" quotePrefix="0" xfId="0"/>
    <xf numFmtId="0" fontId="30" fillId="0" borderId="1" applyAlignment="1" pivotButton="0" quotePrefix="0" xfId="1">
      <alignment horizontal="center" vertical="center"/>
    </xf>
    <xf numFmtId="0" fontId="26" fillId="0" borderId="9" pivotButton="0" quotePrefix="0" xfId="0"/>
    <xf numFmtId="0" fontId="26" fillId="0" borderId="10" pivotButton="0" quotePrefix="0" xfId="0"/>
    <xf numFmtId="0" fontId="31" fillId="0" borderId="0" applyAlignment="1" pivotButton="0" quotePrefix="0" xfId="1">
      <alignment horizontal="center"/>
    </xf>
    <xf numFmtId="0" fontId="0" fillId="0" borderId="3" pivotButton="0" quotePrefix="0" xfId="0"/>
    <xf numFmtId="0" fontId="32" fillId="4" borderId="1" applyAlignment="1" pivotButton="0" quotePrefix="0" xfId="1">
      <alignment horizontal="center" vertical="center" wrapText="1"/>
    </xf>
    <xf numFmtId="0" fontId="26" fillId="0" borderId="1" applyAlignment="1" pivotButton="0" quotePrefix="0" xfId="1">
      <alignment horizontal="center" vertical="center" wrapText="1"/>
    </xf>
    <xf numFmtId="0" fontId="31" fillId="0" borderId="1" applyAlignment="1" pivotButton="0" quotePrefix="0" xfId="1">
      <alignment horizontal="center" vertical="center" wrapText="1"/>
    </xf>
    <xf numFmtId="0" fontId="31" fillId="0" borderId="0" applyAlignment="1" pivotButton="0" quotePrefix="0" xfId="1">
      <alignment horizontal="center" vertical="center" wrapText="1"/>
    </xf>
    <xf numFmtId="43" fontId="6" fillId="0" borderId="0" applyAlignment="1" pivotButton="0" quotePrefix="0" xfId="3">
      <alignment vertical="center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vertical="center" wrapText="1"/>
    </xf>
    <xf numFmtId="0" fontId="27" fillId="0" borderId="1" applyAlignment="1" pivotButton="0" quotePrefix="0" xfId="0">
      <alignment horizontal="left" vertical="center" wrapText="1" indent="4"/>
    </xf>
    <xf numFmtId="0" fontId="26" fillId="0" borderId="11" pivotButton="0" quotePrefix="0" xfId="0"/>
    <xf numFmtId="0" fontId="26" fillId="0" borderId="12" pivotButton="0" quotePrefix="0" xfId="0"/>
    <xf numFmtId="0" fontId="28" fillId="3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top" wrapText="1"/>
    </xf>
    <xf numFmtId="0" fontId="19" fillId="5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top" wrapText="1"/>
    </xf>
    <xf numFmtId="0" fontId="0" fillId="0" borderId="13" pivotButton="0" quotePrefix="0" xfId="0"/>
    <xf numFmtId="0" fontId="20" fillId="0" borderId="1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top" wrapText="1"/>
    </xf>
    <xf numFmtId="0" fontId="21" fillId="6" borderId="13" applyAlignment="1" pivotButton="0" quotePrefix="0" xfId="0">
      <alignment horizontal="center" vertical="center" wrapText="1"/>
    </xf>
    <xf numFmtId="0" fontId="21" fillId="6" borderId="13" pivotButton="0" quotePrefix="0" xfId="0"/>
    <xf numFmtId="0" fontId="22" fillId="7" borderId="13" applyAlignment="1" pivotButton="0" quotePrefix="0" xfId="0">
      <alignment horizontal="left" vertical="top" wrapText="1"/>
    </xf>
    <xf numFmtId="0" fontId="22" fillId="7" borderId="13" pivotButton="0" quotePrefix="0" xfId="0"/>
    <xf numFmtId="166" fontId="23" fillId="8" borderId="13" applyAlignment="1" pivotButton="0" quotePrefix="0" xfId="0">
      <alignment horizontal="center" vertical="center" wrapText="1"/>
    </xf>
    <xf numFmtId="166" fontId="23" fillId="8" borderId="13" pivotButton="0" quotePrefix="0" xfId="0"/>
    <xf numFmtId="1" fontId="23" fillId="8" borderId="13" applyAlignment="1" pivotButton="0" quotePrefix="0" xfId="0">
      <alignment horizontal="center" vertical="center" wrapText="1"/>
    </xf>
    <xf numFmtId="1" fontId="23" fillId="8" borderId="13" pivotButton="0" quotePrefix="0" xfId="0"/>
    <xf numFmtId="167" fontId="23" fillId="8" borderId="13" applyAlignment="1" pivotButton="0" quotePrefix="0" xfId="0">
      <alignment horizontal="center" vertical="center" wrapText="1"/>
    </xf>
    <xf numFmtId="167" fontId="23" fillId="8" borderId="13" pivotButton="0" quotePrefix="0" xfId="0"/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44" t="n"/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6" t="n"/>
      <c r="N1" s="47" t="n"/>
      <c r="O1" s="45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9" t="n"/>
      <c r="Z1" s="27" t="inlineStr">
        <is>
          <t>DISEÑO DE INGENIERÍA</t>
        </is>
      </c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9" t="n"/>
      <c r="BC1" s="26" t="inlineStr">
        <is>
          <t>CODIGO:</t>
        </is>
      </c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1" t="n"/>
      <c r="BO1" s="25" t="inlineStr">
        <is>
          <t>P2437-HV-CAL-001</t>
        </is>
      </c>
      <c r="BP1" s="52" t="n"/>
      <c r="BQ1" s="52" t="n"/>
      <c r="BR1" s="52" t="n"/>
      <c r="BS1" s="52" t="n"/>
      <c r="BT1" s="52" t="n"/>
      <c r="BU1" s="52" t="n"/>
      <c r="BV1" s="52" t="n"/>
      <c r="BW1" s="52" t="n"/>
      <c r="BX1" s="52" t="n"/>
      <c r="BY1" s="52" t="n"/>
      <c r="BZ1" s="53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4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6" t="n"/>
      <c r="N2" s="54" t="n"/>
      <c r="O2" s="55" t="n"/>
      <c r="Y2" s="57" t="n"/>
      <c r="Z2" s="58" t="n"/>
      <c r="AA2" s="59" t="n"/>
      <c r="AB2" s="59" t="n"/>
      <c r="AC2" s="59" t="n"/>
      <c r="AD2" s="59" t="n"/>
      <c r="AE2" s="59" t="n"/>
      <c r="AF2" s="59" t="n"/>
      <c r="AG2" s="59" t="n"/>
      <c r="AH2" s="59" t="n"/>
      <c r="AI2" s="59" t="n"/>
      <c r="AJ2" s="59" t="n"/>
      <c r="AK2" s="59" t="n"/>
      <c r="AL2" s="59" t="n"/>
      <c r="AM2" s="59" t="n"/>
      <c r="AN2" s="59" t="n"/>
      <c r="AO2" s="59" t="n"/>
      <c r="AP2" s="59" t="n"/>
      <c r="AQ2" s="59" t="n"/>
      <c r="AR2" s="59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60" t="n"/>
      <c r="BC2" s="26" t="inlineStr">
        <is>
          <t>REVISION:</t>
        </is>
      </c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1" t="n"/>
      <c r="BO2" s="25" t="inlineStr">
        <is>
          <t>CERO (0)</t>
        </is>
      </c>
      <c r="BP2" s="52" t="n"/>
      <c r="BQ2" s="52" t="n"/>
      <c r="BR2" s="52" t="n"/>
      <c r="BS2" s="52" t="n"/>
      <c r="BT2" s="52" t="n"/>
      <c r="BU2" s="52" t="n"/>
      <c r="BV2" s="52" t="n"/>
      <c r="BW2" s="52" t="n"/>
      <c r="BX2" s="52" t="n"/>
      <c r="BY2" s="52" t="n"/>
      <c r="BZ2" s="53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4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4" t="n"/>
      <c r="O3" s="55" t="n"/>
      <c r="Y3" s="57" t="n"/>
      <c r="Z3" s="27" t="inlineStr">
        <is>
          <t>SISTEMA HVAC LABORATORIO BRINSA</t>
        </is>
      </c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9" t="n"/>
      <c r="BC3" s="26" t="inlineStr">
        <is>
          <t>FECHA:</t>
        </is>
      </c>
      <c r="BD3" s="50" t="n"/>
      <c r="BE3" s="50" t="n"/>
      <c r="BF3" s="50" t="n"/>
      <c r="BG3" s="50" t="n"/>
      <c r="BH3" s="50" t="n"/>
      <c r="BI3" s="50" t="n"/>
      <c r="BJ3" s="50" t="n"/>
      <c r="BK3" s="50" t="n"/>
      <c r="BL3" s="50" t="n"/>
      <c r="BM3" s="50" t="n"/>
      <c r="BN3" s="51" t="n"/>
      <c r="BO3" s="25" t="inlineStr">
        <is>
          <t>JULIO 23 DEL 2026</t>
        </is>
      </c>
      <c r="BP3" s="52" t="n"/>
      <c r="BQ3" s="52" t="n"/>
      <c r="BR3" s="52" t="n"/>
      <c r="BS3" s="52" t="n"/>
      <c r="BT3" s="52" t="n"/>
      <c r="BU3" s="52" t="n"/>
      <c r="BV3" s="52" t="n"/>
      <c r="BW3" s="52" t="n"/>
      <c r="BX3" s="52" t="n"/>
      <c r="BY3" s="52" t="n"/>
      <c r="BZ3" s="53" t="n"/>
    </row>
    <row r="4" ht="25" customFormat="1" customHeight="1" s="2">
      <c r="A4" s="54" t="n"/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6" t="n"/>
      <c r="N4" s="54" t="n"/>
      <c r="O4" s="55" t="n"/>
      <c r="Y4" s="57" t="n"/>
      <c r="Z4" s="58" t="n"/>
      <c r="AA4" s="59" t="n"/>
      <c r="AB4" s="59" t="n"/>
      <c r="AC4" s="59" t="n"/>
      <c r="AD4" s="59" t="n"/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60" t="n"/>
      <c r="BC4" s="26" t="inlineStr">
        <is>
          <t>ELABORO:</t>
        </is>
      </c>
      <c r="BD4" s="50" t="n"/>
      <c r="BE4" s="50" t="n"/>
      <c r="BF4" s="50" t="n"/>
      <c r="BG4" s="50" t="n"/>
      <c r="BH4" s="50" t="n"/>
      <c r="BI4" s="50" t="n"/>
      <c r="BJ4" s="50" t="n"/>
      <c r="BK4" s="50" t="n"/>
      <c r="BL4" s="50" t="n"/>
      <c r="BM4" s="50" t="n"/>
      <c r="BN4" s="51" t="n"/>
      <c r="BO4" s="25" t="inlineStr">
        <is>
          <t>J.ARBOLEDA</t>
        </is>
      </c>
      <c r="BP4" s="52" t="n"/>
      <c r="BQ4" s="52" t="n"/>
      <c r="BR4" s="52" t="n"/>
      <c r="BS4" s="52" t="n"/>
      <c r="BT4" s="52" t="n"/>
      <c r="BU4" s="52" t="n"/>
      <c r="BV4" s="52" t="n"/>
      <c r="BW4" s="52" t="n"/>
      <c r="BX4" s="52" t="n"/>
      <c r="BY4" s="52" t="n"/>
      <c r="BZ4" s="53" t="n"/>
    </row>
    <row r="5" ht="25" customFormat="1" customHeight="1" s="2">
      <c r="A5" s="61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3" t="n"/>
      <c r="N5" s="61" t="n"/>
      <c r="O5" s="62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60" t="n"/>
      <c r="Z5" s="31" t="inlineStr">
        <is>
          <t>MEMORIA DE CÁLCULO DEL SISTEMA DE VENTILACIÓN DEL LABORATORIO</t>
        </is>
      </c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  <c r="AY5" s="48" t="n"/>
      <c r="AZ5" s="48" t="n"/>
      <c r="BA5" s="48" t="n"/>
      <c r="BB5" s="49" t="n"/>
      <c r="BC5" s="26" t="inlineStr">
        <is>
          <t>REVISO:</t>
        </is>
      </c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0" t="n"/>
      <c r="BN5" s="51" t="n"/>
      <c r="BO5" s="25" t="inlineStr">
        <is>
          <t>F.NAVIA</t>
        </is>
      </c>
      <c r="BP5" s="52" t="n"/>
      <c r="BQ5" s="52" t="n"/>
      <c r="BR5" s="52" t="n"/>
      <c r="BS5" s="52" t="n"/>
      <c r="BT5" s="52" t="n"/>
      <c r="BU5" s="52" t="n"/>
      <c r="BV5" s="52" t="n"/>
      <c r="BW5" s="52" t="n"/>
      <c r="BX5" s="52" t="n"/>
      <c r="BY5" s="52" t="n"/>
      <c r="BZ5" s="53" t="n"/>
    </row>
    <row r="6" ht="25" customFormat="1" customHeight="1" s="2">
      <c r="A6" s="64" t="inlineStr">
        <is>
          <t>PROYECTO</t>
        </is>
      </c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6" t="n"/>
      <c r="N6" s="64" t="inlineStr">
        <is>
          <t>P2437</t>
        </is>
      </c>
      <c r="O6" s="65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1" t="n"/>
      <c r="Z6" s="58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60" t="n"/>
      <c r="BC6" s="26" t="inlineStr">
        <is>
          <t>APROBO:</t>
        </is>
      </c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1" t="n"/>
      <c r="BO6" s="25" t="inlineStr">
        <is>
          <t>H.ROSERO</t>
        </is>
      </c>
      <c r="BP6" s="52" t="n"/>
      <c r="BQ6" s="52" t="n"/>
      <c r="BR6" s="52" t="n"/>
      <c r="BS6" s="52" t="n"/>
      <c r="BT6" s="52" t="n"/>
      <c r="BU6" s="52" t="n"/>
      <c r="BV6" s="52" t="n"/>
      <c r="BW6" s="52" t="n"/>
      <c r="BX6" s="52" t="n"/>
      <c r="BY6" s="52" t="n"/>
      <c r="BZ6" s="53" t="n"/>
    </row>
    <row r="7" ht="15" customHeight="1">
      <c r="A7" s="55" t="n"/>
      <c r="B7" s="55" t="n"/>
      <c r="C7" s="55" t="n"/>
      <c r="D7" s="55" t="n"/>
      <c r="E7" s="55" t="n"/>
      <c r="F7" s="55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A8" s="55" t="n"/>
      <c r="B8" s="55" t="n"/>
      <c r="C8" s="55" t="n"/>
      <c r="D8" s="55" t="n"/>
      <c r="E8" s="55" t="n"/>
      <c r="F8" s="55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A9" s="55" t="n"/>
      <c r="B9" s="55" t="n"/>
      <c r="C9" s="55" t="n"/>
      <c r="D9" s="55" t="n"/>
      <c r="E9" s="55" t="n"/>
      <c r="F9" s="55" t="n"/>
      <c r="G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A10" s="55" t="n"/>
      <c r="B10" s="55" t="n"/>
      <c r="C10" s="55" t="n"/>
      <c r="D10" s="55" t="n"/>
      <c r="E10" s="55" t="n"/>
      <c r="F10" s="55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A11" s="55" t="n"/>
      <c r="B11" s="55" t="n"/>
      <c r="C11" s="55" t="n"/>
      <c r="D11" s="55" t="n"/>
      <c r="E11" s="55" t="n"/>
      <c r="F11" s="55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A12" s="55" t="n"/>
      <c r="B12" s="55" t="n"/>
      <c r="C12" s="55" t="n"/>
      <c r="D12" s="55" t="n"/>
      <c r="E12" s="55" t="n"/>
      <c r="F12" s="55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A13" s="55" t="n"/>
      <c r="B13" s="55" t="n"/>
      <c r="C13" s="55" t="n"/>
      <c r="D13" s="55" t="n"/>
      <c r="E13" s="55" t="n"/>
      <c r="F13" s="55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A14" s="55" t="n"/>
      <c r="B14" s="55" t="n"/>
      <c r="C14" s="55" t="n"/>
      <c r="D14" s="55" t="n"/>
      <c r="E14" s="55" t="n"/>
      <c r="F14" s="55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A15" s="55" t="n"/>
      <c r="B15" s="55" t="n"/>
      <c r="C15" s="55" t="n"/>
      <c r="D15" s="55" t="n"/>
      <c r="E15" s="55" t="n"/>
      <c r="F15" s="55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A16" s="55" t="n"/>
      <c r="B16" s="55" t="n"/>
      <c r="C16" s="55" t="n"/>
      <c r="D16" s="55" t="n"/>
      <c r="E16" s="55" t="n"/>
      <c r="F16" s="55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A17" s="55" t="n"/>
      <c r="B17" s="55" t="n"/>
      <c r="C17" s="55" t="n"/>
      <c r="D17" s="55" t="n"/>
      <c r="E17" s="55" t="n"/>
      <c r="F17" s="55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A18" s="55" t="n"/>
      <c r="B18" s="55" t="n"/>
      <c r="C18" s="55" t="n"/>
      <c r="D18" s="55" t="n"/>
      <c r="E18" s="55" t="n"/>
      <c r="F18" s="55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A19" s="55" t="n"/>
      <c r="B19" s="55" t="n"/>
      <c r="C19" s="55" t="n"/>
      <c r="D19" s="55" t="n"/>
      <c r="E19" s="55" t="n"/>
      <c r="F19" s="55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A20" s="55" t="n"/>
      <c r="B20" s="55" t="n"/>
      <c r="C20" s="55" t="n"/>
      <c r="D20" s="55" t="n"/>
      <c r="E20" s="55" t="n"/>
      <c r="F20" s="55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A21" s="55" t="n"/>
      <c r="B21" s="55" t="n"/>
      <c r="C21" s="55" t="n"/>
      <c r="D21" s="55" t="n"/>
      <c r="E21" s="55" t="n"/>
      <c r="F21" s="55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21" t="n"/>
      <c r="Q21" s="21" t="n"/>
      <c r="R21" s="41" t="inlineStr">
        <is>
          <t>Elaborado por:</t>
        </is>
      </c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9" t="n"/>
      <c r="AF21" s="41" t="inlineStr">
        <is>
          <t>Revisado por:</t>
        </is>
      </c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9" t="n"/>
      <c r="AT21" s="41" t="inlineStr">
        <is>
          <t>Aprobado por:</t>
        </is>
      </c>
      <c r="AU21" s="48" t="n"/>
      <c r="AV21" s="48" t="n"/>
      <c r="AW21" s="48" t="n"/>
      <c r="AX21" s="48" t="n"/>
      <c r="AY21" s="48" t="n"/>
      <c r="AZ21" s="48" t="n"/>
      <c r="BA21" s="48" t="n"/>
      <c r="BB21" s="48" t="n"/>
      <c r="BC21" s="48" t="n"/>
      <c r="BD21" s="48" t="n"/>
      <c r="BE21" s="48" t="n"/>
      <c r="BF21" s="48" t="n"/>
      <c r="BG21" s="49" t="n"/>
    </row>
    <row r="22" ht="15" customHeight="1">
      <c r="A22" s="55" t="n"/>
      <c r="B22" s="55" t="n"/>
      <c r="C22" s="55" t="n"/>
      <c r="D22" s="55" t="n"/>
      <c r="E22" s="55" t="n"/>
      <c r="F22" s="55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21" t="n"/>
      <c r="Q22" s="21" t="n"/>
      <c r="R22" s="68" t="n"/>
      <c r="AE22" s="57" t="n"/>
      <c r="AF22" s="68" t="n"/>
      <c r="AS22" s="57" t="n"/>
      <c r="AT22" s="68" t="n"/>
      <c r="BG22" s="57" t="n"/>
    </row>
    <row r="23" ht="15" customHeight="1">
      <c r="A23" s="55" t="n"/>
      <c r="B23" s="55" t="n"/>
      <c r="C23" s="55" t="n"/>
      <c r="D23" s="55" t="n"/>
      <c r="E23" s="55" t="n"/>
      <c r="F23" s="55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21" t="n"/>
      <c r="Q23" s="21" t="n"/>
      <c r="R23" s="58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60" t="n"/>
      <c r="AF23" s="58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60" t="n"/>
      <c r="AT23" s="58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60" t="n"/>
    </row>
    <row r="24" ht="15" customHeight="1">
      <c r="A24" s="55" t="n"/>
      <c r="B24" s="55" t="n"/>
      <c r="C24" s="55" t="n"/>
      <c r="D24" s="55" t="n"/>
      <c r="E24" s="55" t="n"/>
      <c r="F24" s="55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21" t="n"/>
      <c r="Q24" s="21" t="n"/>
      <c r="R24" s="23" t="inlineStr">
        <is>
          <t>J.ARBOLEDA</t>
        </is>
      </c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9" t="n"/>
      <c r="AF24" s="24" t="n"/>
      <c r="AG24" s="48" t="n"/>
      <c r="AH24" s="48" t="n"/>
      <c r="AI24" s="48" t="n"/>
      <c r="AJ24" s="48" t="n"/>
      <c r="AK24" s="48" t="n"/>
      <c r="AL24" s="48" t="n"/>
      <c r="AM24" s="48" t="n"/>
      <c r="AN24" s="48" t="n"/>
      <c r="AO24" s="48" t="n"/>
      <c r="AP24" s="48" t="n"/>
      <c r="AQ24" s="48" t="n"/>
      <c r="AR24" s="48" t="n"/>
      <c r="AS24" s="49" t="n"/>
      <c r="AT24" s="24" t="n"/>
      <c r="AU24" s="48" t="n"/>
      <c r="AV24" s="48" t="n"/>
      <c r="AW24" s="48" t="n"/>
      <c r="AX24" s="48" t="n"/>
      <c r="AY24" s="48" t="n"/>
      <c r="AZ24" s="48" t="n"/>
      <c r="BA24" s="48" t="n"/>
      <c r="BB24" s="48" t="n"/>
      <c r="BC24" s="48" t="n"/>
      <c r="BD24" s="48" t="n"/>
      <c r="BE24" s="48" t="n"/>
      <c r="BF24" s="48" t="n"/>
      <c r="BG24" s="49" t="n"/>
    </row>
    <row r="25" ht="15" customHeight="1">
      <c r="A25" s="55" t="n"/>
      <c r="B25" s="55" t="n"/>
      <c r="C25" s="55" t="n"/>
      <c r="D25" s="55" t="n"/>
      <c r="E25" s="55" t="n"/>
      <c r="F25" s="55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21" t="n"/>
      <c r="Q25" s="21" t="n"/>
      <c r="R25" s="68" t="n"/>
      <c r="AE25" s="57" t="n"/>
      <c r="AF25" s="68" t="n"/>
      <c r="AS25" s="57" t="n"/>
      <c r="AT25" s="68" t="n"/>
      <c r="BG25" s="57" t="n"/>
    </row>
    <row r="26" ht="15" customHeight="1">
      <c r="A26" s="55" t="n"/>
      <c r="B26" s="55" t="n"/>
      <c r="C26" s="55" t="n"/>
      <c r="D26" s="55" t="n"/>
      <c r="E26" s="55" t="n"/>
      <c r="F26" s="55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21" t="n"/>
      <c r="Q26" s="21" t="n"/>
      <c r="R26" s="58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60" t="n"/>
      <c r="AF26" s="58" t="n"/>
      <c r="AG26" s="59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60" t="n"/>
      <c r="AT26" s="58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60" t="n"/>
    </row>
    <row r="27" ht="15" customHeight="1">
      <c r="A27" s="55" t="n"/>
      <c r="B27" s="55" t="n"/>
      <c r="C27" s="55" t="n"/>
      <c r="D27" s="55" t="n"/>
      <c r="E27" s="55" t="n"/>
      <c r="F27" s="55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21" t="n"/>
      <c r="Q27" s="21" t="n"/>
      <c r="R27" s="24">
        <f>"Fecha :"&amp;BO3</f>
        <v/>
      </c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9" t="n"/>
      <c r="AF27" s="24">
        <f>"Fecha :"&amp;CC1</f>
        <v/>
      </c>
      <c r="AG27" s="48" t="n"/>
      <c r="AH27" s="48" t="n"/>
      <c r="AI27" s="48" t="n"/>
      <c r="AJ27" s="48" t="n"/>
      <c r="AK27" s="48" t="n"/>
      <c r="AL27" s="48" t="n"/>
      <c r="AM27" s="48" t="n"/>
      <c r="AN27" s="48" t="n"/>
      <c r="AO27" s="48" t="n"/>
      <c r="AP27" s="48" t="n"/>
      <c r="AQ27" s="48" t="n"/>
      <c r="AR27" s="48" t="n"/>
      <c r="AS27" s="49" t="n"/>
      <c r="AT27" s="24">
        <f>"Fecha :"&amp;CC2</f>
        <v/>
      </c>
      <c r="AU27" s="48" t="n"/>
      <c r="AV27" s="48" t="n"/>
      <c r="AW27" s="48" t="n"/>
      <c r="AX27" s="48" t="n"/>
      <c r="AY27" s="48" t="n"/>
      <c r="AZ27" s="48" t="n"/>
      <c r="BA27" s="48" t="n"/>
      <c r="BB27" s="48" t="n"/>
      <c r="BC27" s="48" t="n"/>
      <c r="BD27" s="48" t="n"/>
      <c r="BE27" s="48" t="n"/>
      <c r="BF27" s="48" t="n"/>
      <c r="BG27" s="49" t="n"/>
    </row>
    <row r="28" ht="15" customHeight="1">
      <c r="A28" s="55" t="n"/>
      <c r="B28" s="55" t="n"/>
      <c r="C28" s="55" t="n"/>
      <c r="D28" s="55" t="n"/>
      <c r="E28" s="55" t="n"/>
      <c r="F28" s="55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21" t="n"/>
      <c r="Q28" s="21" t="n"/>
      <c r="R28" s="68" t="n"/>
      <c r="AE28" s="57" t="n"/>
      <c r="AF28" s="68" t="n"/>
      <c r="AS28" s="57" t="n"/>
      <c r="AT28" s="68" t="n"/>
      <c r="BG28" s="57" t="n"/>
    </row>
    <row r="29" ht="15" customHeight="1">
      <c r="A29" s="55" t="n"/>
      <c r="B29" s="55" t="n"/>
      <c r="C29" s="55" t="n"/>
      <c r="D29" s="55" t="n"/>
      <c r="E29" s="55" t="n"/>
      <c r="F29" s="55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21" t="n"/>
      <c r="Q29" s="21" t="n"/>
      <c r="R29" s="58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60" t="n"/>
      <c r="AF29" s="58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60" t="n"/>
      <c r="AT29" s="58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60" t="n"/>
    </row>
    <row r="30" ht="15" customHeight="1">
      <c r="A30" s="55" t="n"/>
      <c r="B30" s="55" t="n"/>
      <c r="C30" s="55" t="n"/>
      <c r="D30" s="55" t="n"/>
      <c r="E30" s="55" t="n"/>
      <c r="F30" s="55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A31" s="55" t="n"/>
      <c r="B31" s="55" t="n"/>
      <c r="C31" s="55" t="n"/>
      <c r="D31" s="55" t="n"/>
      <c r="E31" s="55" t="n"/>
      <c r="F31" s="55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A32" s="55" t="n"/>
      <c r="B32" s="55" t="n"/>
      <c r="C32" s="55" t="n"/>
      <c r="D32" s="55" t="n"/>
      <c r="E32" s="55" t="n"/>
      <c r="F32" s="55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A33" s="55" t="n"/>
      <c r="B33" s="55" t="n"/>
      <c r="C33" s="55" t="n"/>
      <c r="D33" s="55" t="n"/>
      <c r="E33" s="55" t="n"/>
      <c r="F33" s="55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A34" s="55" t="n"/>
      <c r="B34" s="55" t="n"/>
      <c r="C34" s="55" t="n"/>
      <c r="D34" s="55" t="n"/>
      <c r="E34" s="55" t="n"/>
      <c r="F34" s="55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A35" s="55" t="n"/>
      <c r="B35" s="55" t="n"/>
      <c r="C35" s="55" t="n"/>
      <c r="D35" s="55" t="n"/>
      <c r="E35" s="55" t="n"/>
      <c r="F35" s="55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A36" s="55" t="n"/>
      <c r="B36" s="55" t="n"/>
      <c r="C36" s="55" t="n"/>
      <c r="D36" s="55" t="n"/>
      <c r="E36" s="55" t="n"/>
      <c r="F36" s="55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A37" s="55" t="n"/>
      <c r="B37" s="55" t="n"/>
      <c r="C37" s="55" t="n"/>
      <c r="D37" s="55" t="n"/>
      <c r="E37" s="55" t="n"/>
      <c r="F37" s="55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A38" s="55" t="n"/>
      <c r="B38" s="55" t="n"/>
      <c r="C38" s="55" t="n"/>
      <c r="D38" s="55" t="n"/>
      <c r="E38" s="55" t="n"/>
      <c r="F38" s="55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A39" s="55" t="n"/>
      <c r="B39" s="55" t="n"/>
      <c r="C39" s="55" t="n"/>
      <c r="D39" s="55" t="n"/>
      <c r="E39" s="55" t="n"/>
      <c r="F39" s="55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9" t="inlineStr">
        <is>
          <t>Versión</t>
        </is>
      </c>
      <c r="P39" s="48" t="n"/>
      <c r="Q39" s="48" t="n"/>
      <c r="R39" s="48" t="n"/>
      <c r="S39" s="48" t="n"/>
      <c r="T39" s="48" t="n"/>
      <c r="U39" s="49" t="n"/>
      <c r="V39" s="42" t="inlineStr">
        <is>
          <t>Autor</t>
        </is>
      </c>
      <c r="W39" s="48" t="n"/>
      <c r="X39" s="48" t="n"/>
      <c r="Y39" s="48" t="n"/>
      <c r="Z39" s="48" t="n"/>
      <c r="AA39" s="48" t="n"/>
      <c r="AB39" s="49" t="n"/>
      <c r="AC39" s="43" t="inlineStr">
        <is>
          <t>Descripción</t>
        </is>
      </c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49" t="n"/>
      <c r="AP39" s="42" t="inlineStr">
        <is>
          <t>Fecha de elaboración</t>
        </is>
      </c>
      <c r="AQ39" s="48" t="n"/>
      <c r="AR39" s="48" t="n"/>
      <c r="AS39" s="48" t="n"/>
      <c r="AT39" s="48" t="n"/>
      <c r="AU39" s="48" t="n"/>
      <c r="AV39" s="49" t="n"/>
      <c r="AW39" s="42" t="inlineStr">
        <is>
          <t>Fecha de revisión</t>
        </is>
      </c>
      <c r="AX39" s="48" t="n"/>
      <c r="AY39" s="48" t="n"/>
      <c r="AZ39" s="48" t="n"/>
      <c r="BA39" s="48" t="n"/>
      <c r="BB39" s="48" t="n"/>
      <c r="BC39" s="49" t="n"/>
      <c r="BD39" s="42" t="inlineStr">
        <is>
          <t>Revisado por</t>
        </is>
      </c>
      <c r="BE39" s="48" t="n"/>
      <c r="BF39" s="48" t="n"/>
      <c r="BG39" s="48" t="n"/>
      <c r="BH39" s="48" t="n"/>
      <c r="BI39" s="48" t="n"/>
      <c r="BJ39" s="49" t="n"/>
    </row>
    <row r="40" ht="15" customHeight="1">
      <c r="A40" s="55" t="n"/>
      <c r="B40" s="55" t="n"/>
      <c r="C40" s="55" t="n"/>
      <c r="D40" s="55" t="n"/>
      <c r="E40" s="55" t="n"/>
      <c r="F40" s="55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54" t="n"/>
      <c r="U40" s="57" t="n"/>
      <c r="V40" s="68" t="n"/>
      <c r="AB40" s="57" t="n"/>
      <c r="AC40" s="68" t="n"/>
      <c r="AO40" s="57" t="n"/>
      <c r="AP40" s="68" t="n"/>
      <c r="AV40" s="57" t="n"/>
      <c r="AW40" s="68" t="n"/>
      <c r="BC40" s="57" t="n"/>
      <c r="BD40" s="68" t="n"/>
      <c r="BJ40" s="57" t="n"/>
    </row>
    <row r="41" ht="15" customHeight="1">
      <c r="A41" s="55" t="n"/>
      <c r="B41" s="55" t="n"/>
      <c r="C41" s="55" t="n"/>
      <c r="D41" s="55" t="n"/>
      <c r="E41" s="55" t="n"/>
      <c r="F41" s="55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1" t="n"/>
      <c r="P41" s="59" t="n"/>
      <c r="Q41" s="59" t="n"/>
      <c r="R41" s="59" t="n"/>
      <c r="S41" s="59" t="n"/>
      <c r="T41" s="59" t="n"/>
      <c r="U41" s="60" t="n"/>
      <c r="V41" s="58" t="n"/>
      <c r="W41" s="59" t="n"/>
      <c r="X41" s="59" t="n"/>
      <c r="Y41" s="59" t="n"/>
      <c r="Z41" s="59" t="n"/>
      <c r="AA41" s="59" t="n"/>
      <c r="AB41" s="60" t="n"/>
      <c r="AC41" s="58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60" t="n"/>
      <c r="AP41" s="58" t="n"/>
      <c r="AQ41" s="59" t="n"/>
      <c r="AR41" s="59" t="n"/>
      <c r="AS41" s="59" t="n"/>
      <c r="AT41" s="59" t="n"/>
      <c r="AU41" s="59" t="n"/>
      <c r="AV41" s="60" t="n"/>
      <c r="AW41" s="58" t="n"/>
      <c r="AX41" s="59" t="n"/>
      <c r="AY41" s="59" t="n"/>
      <c r="AZ41" s="59" t="n"/>
      <c r="BA41" s="59" t="n"/>
      <c r="BB41" s="59" t="n"/>
      <c r="BC41" s="60" t="n"/>
      <c r="BD41" s="58" t="n"/>
      <c r="BE41" s="59" t="n"/>
      <c r="BF41" s="59" t="n"/>
      <c r="BG41" s="59" t="n"/>
      <c r="BH41" s="59" t="n"/>
      <c r="BI41" s="59" t="n"/>
      <c r="BJ41" s="60" t="n"/>
    </row>
    <row r="42" ht="15" customHeight="1">
      <c r="A42" s="55" t="n"/>
      <c r="B42" s="55" t="n"/>
      <c r="C42" s="55" t="n"/>
      <c r="D42" s="55" t="n"/>
      <c r="E42" s="55" t="n"/>
      <c r="F42" s="55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70" t="inlineStr">
        <is>
          <t>CERO (0)</t>
        </is>
      </c>
      <c r="P42" s="48" t="n"/>
      <c r="Q42" s="48" t="n"/>
      <c r="R42" s="48" t="n"/>
      <c r="S42" s="48" t="n"/>
      <c r="T42" s="48" t="n"/>
      <c r="U42" s="49" t="n"/>
      <c r="V42" s="37" t="inlineStr">
        <is>
          <t>J.ARBOLEDA</t>
        </is>
      </c>
      <c r="W42" s="48" t="n"/>
      <c r="X42" s="48" t="n"/>
      <c r="Y42" s="48" t="n"/>
      <c r="Z42" s="48" t="n"/>
      <c r="AA42" s="48" t="n"/>
      <c r="AB42" s="49" t="n"/>
      <c r="AC42" s="38" t="inlineStr">
        <is>
          <t>Emitido para cotizacion</t>
        </is>
      </c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9" t="n"/>
      <c r="AP42" s="39">
        <f>BO3</f>
        <v/>
      </c>
      <c r="AQ42" s="48" t="n"/>
      <c r="AR42" s="48" t="n"/>
      <c r="AS42" s="48" t="n"/>
      <c r="AT42" s="48" t="n"/>
      <c r="AU42" s="48" t="n"/>
      <c r="AV42" s="49" t="n"/>
      <c r="AW42" s="39">
        <f>AT27</f>
        <v/>
      </c>
      <c r="AX42" s="48" t="n"/>
      <c r="AY42" s="48" t="n"/>
      <c r="AZ42" s="48" t="n"/>
      <c r="BA42" s="48" t="n"/>
      <c r="BB42" s="48" t="n"/>
      <c r="BC42" s="49" t="n"/>
      <c r="BD42" s="40">
        <f>BO5</f>
        <v/>
      </c>
      <c r="BE42" s="48" t="n"/>
      <c r="BF42" s="48" t="n"/>
      <c r="BG42" s="48" t="n"/>
      <c r="BH42" s="48" t="n"/>
      <c r="BI42" s="48" t="n"/>
      <c r="BJ42" s="49" t="n"/>
    </row>
    <row r="43" ht="15" customHeight="1">
      <c r="A43" s="55" t="n"/>
      <c r="B43" s="55" t="n"/>
      <c r="C43" s="55" t="n"/>
      <c r="D43" s="55" t="n"/>
      <c r="E43" s="55" t="n"/>
      <c r="F43" s="55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54" t="n"/>
      <c r="U43" s="57" t="n"/>
      <c r="V43" s="68" t="n"/>
      <c r="AB43" s="57" t="n"/>
      <c r="AC43" s="68" t="n"/>
      <c r="AO43" s="57" t="n"/>
      <c r="AP43" s="68" t="n"/>
      <c r="AV43" s="57" t="n"/>
      <c r="AW43" s="68" t="n"/>
      <c r="BC43" s="57" t="n"/>
      <c r="BD43" s="68" t="n"/>
      <c r="BJ43" s="57" t="n"/>
      <c r="BP43" s="21" t="n"/>
    </row>
    <row r="44" ht="15" customHeight="1">
      <c r="A44" s="55" t="n"/>
      <c r="B44" s="55" t="n"/>
      <c r="C44" s="55" t="n"/>
      <c r="D44" s="55" t="n"/>
      <c r="E44" s="55" t="n"/>
      <c r="F44" s="55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1" t="n"/>
      <c r="P44" s="59" t="n"/>
      <c r="Q44" s="59" t="n"/>
      <c r="R44" s="59" t="n"/>
      <c r="S44" s="59" t="n"/>
      <c r="T44" s="59" t="n"/>
      <c r="U44" s="60" t="n"/>
      <c r="V44" s="58" t="n"/>
      <c r="W44" s="59" t="n"/>
      <c r="X44" s="59" t="n"/>
      <c r="Y44" s="59" t="n"/>
      <c r="Z44" s="59" t="n"/>
      <c r="AA44" s="59" t="n"/>
      <c r="AB44" s="60" t="n"/>
      <c r="AC44" s="58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60" t="n"/>
      <c r="AP44" s="58" t="n"/>
      <c r="AQ44" s="59" t="n"/>
      <c r="AR44" s="59" t="n"/>
      <c r="AS44" s="59" t="n"/>
      <c r="AT44" s="59" t="n"/>
      <c r="AU44" s="59" t="n"/>
      <c r="AV44" s="60" t="n"/>
      <c r="AW44" s="58" t="n"/>
      <c r="AX44" s="59" t="n"/>
      <c r="AY44" s="59" t="n"/>
      <c r="AZ44" s="59" t="n"/>
      <c r="BA44" s="59" t="n"/>
      <c r="BB44" s="59" t="n"/>
      <c r="BC44" s="60" t="n"/>
      <c r="BD44" s="58" t="n"/>
      <c r="BE44" s="59" t="n"/>
      <c r="BF44" s="59" t="n"/>
      <c r="BG44" s="59" t="n"/>
      <c r="BH44" s="59" t="n"/>
      <c r="BI44" s="59" t="n"/>
      <c r="BJ44" s="60" t="n"/>
    </row>
    <row r="45" ht="15" customHeight="1">
      <c r="A45" s="55" t="n"/>
      <c r="B45" s="55" t="n"/>
      <c r="C45" s="55" t="n"/>
      <c r="D45" s="55" t="n"/>
      <c r="E45" s="55" t="n"/>
      <c r="F45" s="55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71" t="n"/>
      <c r="P45" s="48" t="n"/>
      <c r="Q45" s="48" t="n"/>
      <c r="R45" s="48" t="n"/>
      <c r="S45" s="48" t="n"/>
      <c r="T45" s="48" t="n"/>
      <c r="U45" s="49" t="n"/>
      <c r="V45" s="20" t="n"/>
      <c r="W45" s="48" t="n"/>
      <c r="X45" s="48" t="n"/>
      <c r="Y45" s="48" t="n"/>
      <c r="Z45" s="48" t="n"/>
      <c r="AA45" s="48" t="n"/>
      <c r="AB45" s="49" t="n"/>
      <c r="AC45" s="22" t="n"/>
      <c r="AD45" s="48" t="n"/>
      <c r="AE45" s="48" t="n"/>
      <c r="AF45" s="48" t="n"/>
      <c r="AG45" s="48" t="n"/>
      <c r="AH45" s="48" t="n"/>
      <c r="AI45" s="48" t="n"/>
      <c r="AJ45" s="48" t="n"/>
      <c r="AK45" s="48" t="n"/>
      <c r="AL45" s="48" t="n"/>
      <c r="AM45" s="48" t="n"/>
      <c r="AN45" s="48" t="n"/>
      <c r="AO45" s="49" t="n"/>
      <c r="AP45" s="20" t="n"/>
      <c r="AQ45" s="48" t="n"/>
      <c r="AR45" s="48" t="n"/>
      <c r="AS45" s="48" t="n"/>
      <c r="AT45" s="48" t="n"/>
      <c r="AU45" s="48" t="n"/>
      <c r="AV45" s="49" t="n"/>
      <c r="AW45" s="20" t="n"/>
      <c r="AX45" s="48" t="n"/>
      <c r="AY45" s="48" t="n"/>
      <c r="AZ45" s="48" t="n"/>
      <c r="BA45" s="48" t="n"/>
      <c r="BB45" s="48" t="n"/>
      <c r="BC45" s="49" t="n"/>
      <c r="BD45" s="20" t="n"/>
      <c r="BE45" s="48" t="n"/>
      <c r="BF45" s="48" t="n"/>
      <c r="BG45" s="48" t="n"/>
      <c r="BH45" s="48" t="n"/>
      <c r="BI45" s="48" t="n"/>
      <c r="BJ45" s="49" t="n"/>
    </row>
    <row r="46" ht="15" customHeight="1">
      <c r="A46" s="55" t="n"/>
      <c r="B46" s="55" t="n"/>
      <c r="C46" s="55" t="n"/>
      <c r="D46" s="55" t="n"/>
      <c r="E46" s="55" t="n"/>
      <c r="F46" s="55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54" t="n"/>
      <c r="U46" s="57" t="n"/>
      <c r="V46" s="68" t="n"/>
      <c r="AB46" s="57" t="n"/>
      <c r="AC46" s="68" t="n"/>
      <c r="AO46" s="57" t="n"/>
      <c r="AP46" s="68" t="n"/>
      <c r="AV46" s="57" t="n"/>
      <c r="AW46" s="68" t="n"/>
      <c r="BC46" s="57" t="n"/>
      <c r="BD46" s="68" t="n"/>
      <c r="BJ46" s="57" t="n"/>
    </row>
    <row r="47" ht="15" customHeight="1">
      <c r="A47" s="55" t="n"/>
      <c r="B47" s="55" t="n"/>
      <c r="C47" s="55" t="n"/>
      <c r="D47" s="55" t="n"/>
      <c r="E47" s="55" t="n"/>
      <c r="F47" s="55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1" t="n"/>
      <c r="P47" s="59" t="n"/>
      <c r="Q47" s="59" t="n"/>
      <c r="R47" s="59" t="n"/>
      <c r="S47" s="59" t="n"/>
      <c r="T47" s="59" t="n"/>
      <c r="U47" s="60" t="n"/>
      <c r="V47" s="58" t="n"/>
      <c r="W47" s="59" t="n"/>
      <c r="X47" s="59" t="n"/>
      <c r="Y47" s="59" t="n"/>
      <c r="Z47" s="59" t="n"/>
      <c r="AA47" s="59" t="n"/>
      <c r="AB47" s="60" t="n"/>
      <c r="AC47" s="58" t="n"/>
      <c r="AD47" s="59" t="n"/>
      <c r="AE47" s="59" t="n"/>
      <c r="AF47" s="59" t="n"/>
      <c r="AG47" s="59" t="n"/>
      <c r="AH47" s="59" t="n"/>
      <c r="AI47" s="59" t="n"/>
      <c r="AJ47" s="59" t="n"/>
      <c r="AK47" s="59" t="n"/>
      <c r="AL47" s="59" t="n"/>
      <c r="AM47" s="59" t="n"/>
      <c r="AN47" s="59" t="n"/>
      <c r="AO47" s="60" t="n"/>
      <c r="AP47" s="58" t="n"/>
      <c r="AQ47" s="59" t="n"/>
      <c r="AR47" s="59" t="n"/>
      <c r="AS47" s="59" t="n"/>
      <c r="AT47" s="59" t="n"/>
      <c r="AU47" s="59" t="n"/>
      <c r="AV47" s="60" t="n"/>
      <c r="AW47" s="58" t="n"/>
      <c r="AX47" s="59" t="n"/>
      <c r="AY47" s="59" t="n"/>
      <c r="AZ47" s="59" t="n"/>
      <c r="BA47" s="59" t="n"/>
      <c r="BB47" s="59" t="n"/>
      <c r="BC47" s="60" t="n"/>
      <c r="BD47" s="58" t="n"/>
      <c r="BE47" s="59" t="n"/>
      <c r="BF47" s="59" t="n"/>
      <c r="BG47" s="59" t="n"/>
      <c r="BH47" s="59" t="n"/>
      <c r="BI47" s="59" t="n"/>
      <c r="BJ47" s="60" t="n"/>
    </row>
    <row r="48" ht="15" customHeight="1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72" t="n"/>
      <c r="V48" s="19" t="n"/>
      <c r="AC48" s="19" t="n"/>
      <c r="AP48" s="19" t="n"/>
      <c r="AW48" s="19" t="n"/>
      <c r="BD48" s="19" t="n"/>
    </row>
    <row r="49" ht="15" customHeight="1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</row>
    <row r="50" ht="15" customHeight="1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</row>
    <row r="52" ht="15" customHeight="1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</row>
    <row r="54" ht="15" customHeight="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4"/>
  <sheetViews>
    <sheetView workbookViewId="0">
      <selection activeCell="A1" sqref="A1"/>
    </sheetView>
  </sheetViews>
  <sheetFormatPr baseColWidth="8" defaultRowHeight="15"/>
  <cols>
    <col width="30.6" customWidth="1" min="1" max="1"/>
    <col width="12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3" customWidth="1" min="16" max="16"/>
    <col width="13" customWidth="1" min="17" max="17"/>
    <col width="13" customWidth="1" min="18" max="18"/>
    <col width="13" customWidth="1" min="20" max="20"/>
    <col width="13" customWidth="1" min="21" max="21"/>
    <col width="13" customWidth="1" min="22" max="22"/>
    <col width="13" customWidth="1" min="23" max="23"/>
    <col width="13" customWidth="1" min="25" max="25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5" max="65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6" max="86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1" max="101"/>
    <col width="13" customWidth="1" min="102" max="102"/>
    <col width="13" customWidth="1" min="103" max="103"/>
    <col width="13" customWidth="1" min="104" max="104"/>
    <col width="13" customWidth="1" min="106" max="106"/>
    <col width="13" customWidth="1" min="107" max="107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5" max="115"/>
    <col width="13" customWidth="1" min="116" max="116"/>
    <col width="13" customWidth="1" min="117" max="117"/>
    <col width="13" customWidth="1" min="118" max="118"/>
    <col width="13" customWidth="1" min="120" max="120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1" max="141"/>
    <col width="13" customWidth="1" min="142" max="142"/>
    <col width="13" customWidth="1" min="143" max="143"/>
    <col width="13" customWidth="1" min="144" max="144"/>
  </cols>
  <sheetData>
    <row r="1" ht="29.25" customHeight="1">
      <c r="A1" s="74" t="n"/>
      <c r="B1" s="75" t="n"/>
      <c r="C1" s="74">
        <f>PORTADA!Z1</f>
        <v/>
      </c>
      <c r="D1" s="65" t="n"/>
      <c r="E1" s="65" t="n"/>
      <c r="F1" s="65" t="n"/>
      <c r="G1" s="65" t="n"/>
      <c r="H1" s="65" t="n"/>
      <c r="I1" s="65" t="n"/>
      <c r="J1" s="65" t="n"/>
      <c r="K1" s="65" t="n"/>
      <c r="L1" s="66" t="n"/>
      <c r="M1" s="76" t="inlineStr">
        <is>
          <t>CODIGO:</t>
        </is>
      </c>
      <c r="N1" s="77">
        <f>PORTADA!BO1</f>
        <v/>
      </c>
      <c r="O1" s="66" t="n"/>
    </row>
    <row r="2" ht="29.25" customHeight="1">
      <c r="A2" s="78" t="n"/>
      <c r="B2" s="78" t="n"/>
      <c r="C2" s="74">
        <f>PORTADA!Z3</f>
        <v/>
      </c>
      <c r="D2" s="45" t="n"/>
      <c r="E2" s="45" t="n"/>
      <c r="F2" s="45" t="n"/>
      <c r="G2" s="45" t="n"/>
      <c r="H2" s="45" t="n"/>
      <c r="I2" s="45" t="n"/>
      <c r="J2" s="45" t="n"/>
      <c r="K2" s="45" t="n"/>
      <c r="L2" s="46" t="n"/>
      <c r="M2" s="76" t="inlineStr">
        <is>
          <t>REVISION:</t>
        </is>
      </c>
      <c r="N2" s="77">
        <f>PORTADA!BO2</f>
        <v/>
      </c>
      <c r="O2" s="66" t="n"/>
    </row>
    <row r="3" ht="29.25" customHeight="1">
      <c r="A3" s="78" t="n"/>
      <c r="B3" s="78" t="n"/>
      <c r="C3" s="61" t="n"/>
      <c r="D3" s="62" t="n"/>
      <c r="E3" s="62" t="n"/>
      <c r="F3" s="62" t="n"/>
      <c r="G3" s="62" t="n"/>
      <c r="H3" s="62" t="n"/>
      <c r="I3" s="62" t="n"/>
      <c r="J3" s="62" t="n"/>
      <c r="K3" s="62" t="n"/>
      <c r="L3" s="63" t="n"/>
      <c r="M3" s="76" t="inlineStr">
        <is>
          <t>FECHA:</t>
        </is>
      </c>
      <c r="N3" s="77">
        <f>PORTADA!BO3</f>
        <v/>
      </c>
      <c r="O3" s="66" t="n"/>
    </row>
    <row r="4" ht="29.25" customHeight="1">
      <c r="A4" s="78" t="n"/>
      <c r="B4" s="78" t="n"/>
      <c r="C4" s="74">
        <f>PORTADA!Z5</f>
        <v/>
      </c>
      <c r="D4" s="45" t="n"/>
      <c r="E4" s="45" t="n"/>
      <c r="F4" s="45" t="n"/>
      <c r="G4" s="45" t="n"/>
      <c r="H4" s="45" t="n"/>
      <c r="I4" s="45" t="n"/>
      <c r="J4" s="45" t="n"/>
      <c r="K4" s="45" t="n"/>
      <c r="L4" s="46" t="n"/>
      <c r="M4" s="76" t="inlineStr">
        <is>
          <t>ELABORO:</t>
        </is>
      </c>
      <c r="N4" s="77">
        <f>PORTADA!BO4</f>
        <v/>
      </c>
      <c r="O4" s="66" t="n"/>
    </row>
    <row r="5" ht="29.25" customHeight="1">
      <c r="A5" s="79" t="n"/>
      <c r="B5" s="79" t="n"/>
      <c r="C5" s="54" t="n"/>
      <c r="D5" s="55" t="n"/>
      <c r="E5" s="55" t="n"/>
      <c r="F5" s="55" t="n"/>
      <c r="G5" s="55" t="n"/>
      <c r="H5" s="55" t="n"/>
      <c r="I5" s="55" t="n"/>
      <c r="J5" s="55" t="n"/>
      <c r="K5" s="55" t="n"/>
      <c r="L5" s="56" t="n"/>
      <c r="M5" s="76" t="inlineStr">
        <is>
          <t xml:space="preserve">REVISO:      </t>
        </is>
      </c>
      <c r="N5" s="77">
        <f>PORTADA!BO5</f>
        <v/>
      </c>
      <c r="O5" s="66" t="n"/>
    </row>
    <row r="6" ht="29.25" customHeight="1">
      <c r="A6" s="76" t="inlineStr">
        <is>
          <t>PROYECTO:</t>
        </is>
      </c>
      <c r="B6" s="74">
        <f>PORTADA!N6</f>
        <v/>
      </c>
      <c r="C6" s="61" t="n"/>
      <c r="D6" s="62" t="n"/>
      <c r="E6" s="62" t="n"/>
      <c r="F6" s="62" t="n"/>
      <c r="G6" s="62" t="n"/>
      <c r="H6" s="62" t="n"/>
      <c r="I6" s="62" t="n"/>
      <c r="J6" s="62" t="n"/>
      <c r="K6" s="62" t="n"/>
      <c r="L6" s="63" t="n"/>
      <c r="M6" s="76" t="inlineStr">
        <is>
          <t>APROBO:</t>
        </is>
      </c>
      <c r="N6" s="77">
        <f>PORTADA!BO6</f>
        <v/>
      </c>
      <c r="O6" s="66" t="n"/>
    </row>
    <row r="7" ht="25" customHeight="1">
      <c r="A7" s="80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0" t="n">
        <v>7</v>
      </c>
      <c r="H7" s="80" t="n">
        <v>8</v>
      </c>
      <c r="I7" s="80" t="n">
        <v>9</v>
      </c>
      <c r="J7" s="80" t="n">
        <v>10</v>
      </c>
      <c r="K7" s="80" t="n">
        <v>11</v>
      </c>
      <c r="L7" s="80" t="n">
        <v>12</v>
      </c>
      <c r="M7" s="80" t="n">
        <v>13</v>
      </c>
      <c r="N7" s="80" t="n">
        <v>14</v>
      </c>
      <c r="O7" s="80" t="n">
        <v>15</v>
      </c>
    </row>
    <row r="9" ht="375" customHeight="1">
      <c r="A9" s="81" t="inlineStr">
        <is>
          <t>1. DATOS GENERALES — MEMORIA DE CÁLCULO, SISTEMA DE VENTILACIÓN</t>
        </is>
      </c>
    </row>
    <row r="10" ht="15" customHeight="1"/>
    <row r="11" ht="105" customHeight="1">
      <c r="A11" s="82" t="inlineStr">
        <is>
          <t>Información del proyecto</t>
        </is>
      </c>
    </row>
    <row r="12" ht="60" customHeight="1">
      <c r="A12" s="83" t="inlineStr">
        <is>
          <t>Concepto</t>
        </is>
      </c>
      <c r="B12" s="83" t="n"/>
      <c r="C12" s="83" t="n"/>
      <c r="D12" s="83" t="n"/>
      <c r="E12" s="83" t="inlineStr">
        <is>
          <t>Valor</t>
        </is>
      </c>
      <c r="F12" s="83" t="n"/>
      <c r="G12" s="83" t="n"/>
      <c r="H12" s="83" t="n"/>
      <c r="I12" s="83" t="inlineStr">
        <is>
          <t>Unidad</t>
        </is>
      </c>
      <c r="J12" s="83" t="n"/>
      <c r="K12" s="83" t="n"/>
      <c r="L12" s="83" t="n"/>
      <c r="M12" s="83" t="inlineStr">
        <is>
          <t>Observación</t>
        </is>
      </c>
      <c r="N12" s="83" t="n"/>
      <c r="O12" s="83" t="n"/>
    </row>
    <row r="13" ht="225" customHeight="1">
      <c r="A13" s="84" t="inlineStr">
        <is>
          <t>Nombre del proyecto</t>
        </is>
      </c>
      <c r="B13" s="85" t="n"/>
      <c r="C13" s="85" t="n"/>
      <c r="D13" s="85" t="n"/>
      <c r="E13" s="84" t="inlineStr">
        <is>
          <t>Laboratorio Brinsa</t>
        </is>
      </c>
      <c r="F13" s="85" t="n"/>
      <c r="G13" s="85" t="n"/>
      <c r="H13" s="85" t="n"/>
      <c r="I13" s="86" t="inlineStr">
        <is>
          <t>-</t>
        </is>
      </c>
      <c r="J13" s="85" t="n"/>
      <c r="K13" s="85" t="n"/>
      <c r="L13" s="85" t="n"/>
      <c r="M13" s="84" t="inlineStr">
        <is>
          <t>Ventilación por impulsión directa, descarga libre a atmósfera</t>
        </is>
      </c>
      <c r="N13" s="85" t="n"/>
      <c r="O13" s="85" t="n"/>
    </row>
    <row r="14" ht="180" customHeight="1">
      <c r="A14" s="84" t="inlineStr">
        <is>
          <t>Ubicación</t>
        </is>
      </c>
      <c r="B14" s="85" t="n"/>
      <c r="C14" s="85" t="n"/>
      <c r="D14" s="85" t="n"/>
      <c r="E14" s="84" t="inlineStr">
        <is>
          <t>C:\Users\ingen\OneDrive\Escritorio\HVAC\Calculos</t>
        </is>
      </c>
      <c r="F14" s="85" t="n"/>
      <c r="G14" s="85" t="n"/>
      <c r="H14" s="85" t="n"/>
      <c r="I14" s="86" t="inlineStr">
        <is>
          <t>-</t>
        </is>
      </c>
      <c r="J14" s="85" t="n"/>
      <c r="K14" s="85" t="n"/>
      <c r="L14" s="85" t="n"/>
      <c r="M14" s="84" t="inlineStr">
        <is>
          <t>Carpeta de cálculos del proyecto</t>
        </is>
      </c>
      <c r="N14" s="85" t="n"/>
      <c r="O14" s="85" t="n"/>
    </row>
    <row r="15" ht="135" customHeight="1">
      <c r="A15" s="84" t="inlineStr">
        <is>
          <t>Volumen efectivo del laboratorio (V)</t>
        </is>
      </c>
      <c r="B15" s="85" t="n"/>
      <c r="C15" s="85" t="n"/>
      <c r="D15" s="85" t="n"/>
      <c r="E15" s="84" t="inlineStr">
        <is>
          <t>320</t>
        </is>
      </c>
      <c r="F15" s="85" t="n"/>
      <c r="G15" s="85" t="n"/>
      <c r="H15" s="85" t="n"/>
      <c r="I15" s="86" t="inlineStr">
        <is>
          <t>m³</t>
        </is>
      </c>
      <c r="J15" s="85" t="n"/>
      <c r="K15" s="85" t="n"/>
      <c r="L15" s="85" t="n"/>
      <c r="M15" s="84" t="inlineStr">
        <is>
          <t>Medición / modelo 3D</t>
        </is>
      </c>
      <c r="N15" s="85" t="n"/>
      <c r="O15" s="85" t="n"/>
    </row>
    <row r="16" ht="75" customHeight="1">
      <c r="A16" s="84" t="inlineStr">
        <is>
          <t>Renovaciones de aire (N)</t>
        </is>
      </c>
      <c r="B16" s="85" t="n"/>
      <c r="C16" s="85" t="n"/>
      <c r="D16" s="85" t="n"/>
      <c r="E16" s="84" t="inlineStr">
        <is>
          <t>12</t>
        </is>
      </c>
      <c r="F16" s="85" t="n"/>
      <c r="G16" s="85" t="n"/>
      <c r="H16" s="85" t="n"/>
      <c r="I16" s="86" t="inlineStr">
        <is>
          <t>ren/h</t>
        </is>
      </c>
      <c r="J16" s="85" t="n"/>
      <c r="K16" s="85" t="n"/>
      <c r="L16" s="85" t="n"/>
      <c r="M16" s="84" t="inlineStr">
        <is>
          <t>Sustentado normativamente</t>
        </is>
      </c>
      <c r="N16" s="85" t="n"/>
      <c r="O16" s="85" t="n"/>
    </row>
    <row r="17" ht="120" customHeight="1">
      <c r="A17" s="84" t="inlineStr">
        <is>
          <t>Objetivo</t>
        </is>
      </c>
      <c r="B17" s="85" t="n"/>
      <c r="C17" s="85" t="n"/>
      <c r="D17" s="85" t="n"/>
      <c r="E17" s="84" t="inlineStr">
        <is>
          <t>Ventilación y filtración</t>
        </is>
      </c>
      <c r="F17" s="85" t="n"/>
      <c r="G17" s="85" t="n"/>
      <c r="H17" s="85" t="n"/>
      <c r="I17" s="86" t="inlineStr">
        <is>
          <t>-</t>
        </is>
      </c>
      <c r="J17" s="85" t="n"/>
      <c r="K17" s="85" t="n"/>
      <c r="L17" s="85" t="n"/>
      <c r="M17" s="84" t="inlineStr">
        <is>
          <t>12 ACH, MERV 13-14; sin presurización (REV1)</t>
        </is>
      </c>
      <c r="N17" s="85" t="n"/>
      <c r="O17" s="85" t="n"/>
    </row>
    <row r="18" ht="150" customHeight="1">
      <c r="A18" s="84" t="inlineStr">
        <is>
          <t>Estrategia</t>
        </is>
      </c>
      <c r="B18" s="85" t="n"/>
      <c r="C18" s="85" t="n"/>
      <c r="D18" s="85" t="n"/>
      <c r="E18" s="84" t="inlineStr">
        <is>
          <t>Ventilador axial directo + rejillas de exfiltración</t>
        </is>
      </c>
      <c r="F18" s="85" t="n"/>
      <c r="G18" s="85" t="n"/>
      <c r="H18" s="85" t="n"/>
      <c r="I18" s="86" t="inlineStr">
        <is>
          <t>-</t>
        </is>
      </c>
      <c r="J18" s="85" t="n"/>
      <c r="K18" s="85" t="n"/>
      <c r="L18" s="85" t="n"/>
      <c r="M18" s="84" t="inlineStr">
        <is>
          <t>Sin ductos de impulsión</t>
        </is>
      </c>
      <c r="N18" s="85" t="n"/>
      <c r="O18" s="85" t="n"/>
    </row>
    <row r="19" ht="15" customHeight="1"/>
    <row r="20" ht="60" customHeight="1">
      <c r="A20" s="82" t="inlineStr">
        <is>
          <t>Objetivo del documento</t>
        </is>
      </c>
    </row>
    <row r="21" ht="240" customHeight="1">
      <c r="A21" s="87" t="inlineStr">
        <is>
          <t>Presentar de forma atómica, funcional y verificable el cálculo del caudal de aire, potencia del ventilador axial, área de impulsión del ventilador (sin ductos) y área/dimensiones de las rejillas de exfiltración para modelado CFD, con sustentación normativa.</t>
        </is>
      </c>
    </row>
    <row r="22" ht="15" customHeight="1"/>
    <row r="23" ht="15" customHeight="1"/>
    <row r="24" ht="15" customHeight="1"/>
    <row r="25" ht="75" customHeight="1">
      <c r="A25" s="81" t="inlineStr">
        <is>
          <t>2. PARÁMETROS DE ENTRADA</t>
        </is>
      </c>
    </row>
    <row r="26" ht="15" customHeight="1"/>
    <row r="27" ht="60" customHeight="1">
      <c r="A27" s="83" t="inlineStr">
        <is>
          <t>Parámetro</t>
        </is>
      </c>
      <c r="B27" s="83" t="n"/>
      <c r="C27" s="83" t="n"/>
      <c r="D27" s="83" t="inlineStr">
        <is>
          <t>Símbolo</t>
        </is>
      </c>
      <c r="E27" s="83" t="n"/>
      <c r="F27" s="83" t="n"/>
      <c r="G27" s="83" t="inlineStr">
        <is>
          <t>Valor</t>
        </is>
      </c>
      <c r="H27" s="83" t="n"/>
      <c r="I27" s="83" t="n"/>
      <c r="J27" s="83" t="inlineStr">
        <is>
          <t>Unidad</t>
        </is>
      </c>
      <c r="K27" s="83" t="n"/>
      <c r="L27" s="83" t="n"/>
      <c r="M27" s="83" t="inlineStr">
        <is>
          <t>Referencia / Nota</t>
        </is>
      </c>
      <c r="N27" s="83" t="n"/>
      <c r="O27" s="83" t="n"/>
    </row>
    <row r="28" ht="90" customHeight="1">
      <c r="A28" s="84" t="inlineStr">
        <is>
          <t>Volumen efectivo del laboratorio</t>
        </is>
      </c>
      <c r="B28" s="85" t="n"/>
      <c r="C28" s="85" t="n"/>
      <c r="D28" s="86" t="inlineStr">
        <is>
          <t>V</t>
        </is>
      </c>
      <c r="E28" s="85" t="n"/>
      <c r="F28" s="85" t="n"/>
      <c r="G28" s="88" t="n">
        <v>320</v>
      </c>
      <c r="H28" s="89" t="n"/>
      <c r="I28" s="89" t="n"/>
      <c r="J28" s="86" t="inlineStr">
        <is>
          <t>m³</t>
        </is>
      </c>
      <c r="K28" s="85" t="n"/>
      <c r="L28" s="85" t="n"/>
      <c r="M28" s="84" t="inlineStr">
        <is>
          <t>Medición directa o del modelo</t>
        </is>
      </c>
      <c r="N28" s="85" t="n"/>
      <c r="O28" s="85" t="n"/>
    </row>
    <row r="29" ht="75" customHeight="1">
      <c r="A29" s="84" t="inlineStr">
        <is>
          <t>Renovaciones de aire</t>
        </is>
      </c>
      <c r="B29" s="85" t="n"/>
      <c r="C29" s="85" t="n"/>
      <c r="D29" s="86" t="inlineStr">
        <is>
          <t>N</t>
        </is>
      </c>
      <c r="E29" s="85" t="n"/>
      <c r="F29" s="85" t="n"/>
      <c r="G29" s="88" t="n">
        <v>12</v>
      </c>
      <c r="H29" s="89" t="n"/>
      <c r="I29" s="89" t="n"/>
      <c r="J29" s="86" t="inlineStr">
        <is>
          <t>ren/h</t>
        </is>
      </c>
      <c r="K29" s="85" t="n"/>
      <c r="L29" s="85" t="n"/>
      <c r="M29" s="84" t="inlineStr">
        <is>
          <t>Ver sección 5. NORMATIVA</t>
        </is>
      </c>
      <c r="N29" s="85" t="n"/>
      <c r="O29" s="85" t="n"/>
    </row>
    <row r="30" ht="180" customHeight="1">
      <c r="A30" s="84" t="inlineStr">
        <is>
          <t>Presión total estimada del ventilador</t>
        </is>
      </c>
      <c r="B30" s="85" t="n"/>
      <c r="C30" s="85" t="n"/>
      <c r="D30" s="86" t="inlineStr">
        <is>
          <t>ΔP</t>
        </is>
      </c>
      <c r="E30" s="85" t="n"/>
      <c r="F30" s="85" t="n"/>
      <c r="G30" s="88" t="n">
        <v>165</v>
      </c>
      <c r="H30" s="89" t="n"/>
      <c r="I30" s="89" t="n"/>
      <c r="J30" s="86" t="inlineStr">
        <is>
          <t>Pa</t>
        </is>
      </c>
      <c r="K30" s="85" t="n"/>
      <c r="L30" s="85" t="n"/>
      <c r="M30" s="84" t="inlineStr">
        <is>
          <t>Escenario MERV cargado (ver sección 6. ESCENARIOS DE FILTRACIÓN)</t>
        </is>
      </c>
      <c r="N30" s="85" t="n"/>
      <c r="O30" s="85" t="n"/>
    </row>
    <row r="31" ht="135" customHeight="1">
      <c r="A31" s="84" t="inlineStr">
        <is>
          <t>Eficiencia total del ventilador</t>
        </is>
      </c>
      <c r="B31" s="85" t="n"/>
      <c r="C31" s="85" t="n"/>
      <c r="D31" s="86" t="inlineStr">
        <is>
          <t>η</t>
        </is>
      </c>
      <c r="E31" s="85" t="n"/>
      <c r="F31" s="85" t="n"/>
      <c r="G31" s="88" t="n">
        <v>0.55</v>
      </c>
      <c r="H31" s="89" t="n"/>
      <c r="I31" s="89" t="n"/>
      <c r="J31" s="86" t="inlineStr">
        <is>
          <t>-</t>
        </is>
      </c>
      <c r="K31" s="85" t="n"/>
      <c r="L31" s="85" t="n"/>
      <c r="M31" s="84" t="inlineStr">
        <is>
          <t>Axial típico (provisional; confirmar con catálogo)</t>
        </is>
      </c>
      <c r="N31" s="85" t="n"/>
      <c r="O31" s="85" t="n"/>
    </row>
    <row r="32" ht="90" customHeight="1">
      <c r="A32" s="84" t="inlineStr">
        <is>
          <t>Velocidad en boca del ventilador</t>
        </is>
      </c>
      <c r="B32" s="85" t="n"/>
      <c r="C32" s="85" t="n"/>
      <c r="D32" s="86" t="inlineStr">
        <is>
          <t>v_vent</t>
        </is>
      </c>
      <c r="E32" s="85" t="n"/>
      <c r="F32" s="85" t="n"/>
      <c r="G32" s="88" t="n">
        <v>8</v>
      </c>
      <c r="H32" s="89" t="n"/>
      <c r="I32" s="89" t="n"/>
      <c r="J32" s="86" t="inlineStr">
        <is>
          <t>m/s</t>
        </is>
      </c>
      <c r="K32" s="85" t="n"/>
      <c r="L32" s="85" t="n"/>
      <c r="M32" s="84" t="inlineStr">
        <is>
          <t>Para CFD, rango 6–12 m/s</t>
        </is>
      </c>
      <c r="N32" s="85" t="n"/>
      <c r="O32" s="85" t="n"/>
    </row>
    <row r="33" ht="105" customHeight="1">
      <c r="A33" s="84" t="inlineStr">
        <is>
          <t>Velocidad de exfiltración en rejillas</t>
        </is>
      </c>
      <c r="B33" s="85" t="n"/>
      <c r="C33" s="85" t="n"/>
      <c r="D33" s="86" t="inlineStr">
        <is>
          <t>v_sal</t>
        </is>
      </c>
      <c r="E33" s="85" t="n"/>
      <c r="F33" s="85" t="n"/>
      <c r="G33" s="88" t="n">
        <v>3</v>
      </c>
      <c r="H33" s="89" t="n"/>
      <c r="I33" s="89" t="n"/>
      <c r="J33" s="86" t="inlineStr">
        <is>
          <t>m/s</t>
        </is>
      </c>
      <c r="K33" s="85" t="n"/>
      <c r="L33" s="85" t="n"/>
      <c r="M33" s="84" t="inlineStr">
        <is>
          <t>Rango recomendado 2.5–4.0 m/s</t>
        </is>
      </c>
      <c r="N33" s="85" t="n"/>
      <c r="O33" s="85" t="n"/>
    </row>
    <row r="34" ht="75" customHeight="1">
      <c r="A34" s="84" t="inlineStr">
        <is>
          <t>Número de rejillas de salida</t>
        </is>
      </c>
      <c r="B34" s="85" t="n"/>
      <c r="C34" s="85" t="n"/>
      <c r="D34" s="86" t="inlineStr">
        <is>
          <t>n_rej</t>
        </is>
      </c>
      <c r="E34" s="85" t="n"/>
      <c r="F34" s="85" t="n"/>
      <c r="G34" s="88" t="n">
        <v>3</v>
      </c>
      <c r="H34" s="89" t="n"/>
      <c r="I34" s="89" t="n"/>
      <c r="J34" s="86" t="inlineStr">
        <is>
          <t>unid.</t>
        </is>
      </c>
      <c r="K34" s="85" t="n"/>
      <c r="L34" s="85" t="n"/>
      <c r="M34" s="84" t="inlineStr">
        <is>
          <t>Distribución propuesta</t>
        </is>
      </c>
      <c r="N34" s="85" t="n"/>
      <c r="O34" s="85" t="n"/>
    </row>
    <row r="35" ht="90" customHeight="1">
      <c r="A35" s="84" t="inlineStr">
        <is>
          <t>Proporción ancho/alto rejilla</t>
        </is>
      </c>
      <c r="B35" s="85" t="n"/>
      <c r="C35" s="85" t="n"/>
      <c r="D35" s="86" t="inlineStr">
        <is>
          <t>prop</t>
        </is>
      </c>
      <c r="E35" s="85" t="n"/>
      <c r="F35" s="85" t="n"/>
      <c r="G35" s="88" t="n">
        <v>0.95</v>
      </c>
      <c r="H35" s="89" t="n"/>
      <c r="I35" s="89" t="n"/>
      <c r="J35" s="86" t="inlineStr">
        <is>
          <t>-</t>
        </is>
      </c>
      <c r="K35" s="85" t="n"/>
      <c r="L35" s="85" t="n"/>
      <c r="M35" s="84" t="inlineStr">
        <is>
          <t>353 mm × 336 mm ≈ 0.95</t>
        </is>
      </c>
      <c r="N35" s="85" t="n"/>
      <c r="O35" s="85" t="n"/>
    </row>
    <row r="36" ht="180" customHeight="1">
      <c r="A36" s="84" t="inlineStr">
        <is>
          <t>Densidad del aire</t>
        </is>
      </c>
      <c r="B36" s="85" t="n"/>
      <c r="C36" s="85" t="n"/>
      <c r="D36" s="86" t="inlineStr">
        <is>
          <t>rho</t>
        </is>
      </c>
      <c r="E36" s="85" t="n"/>
      <c r="F36" s="85" t="n"/>
      <c r="G36" s="88" t="n">
        <v>0.88</v>
      </c>
      <c r="H36" s="89" t="n"/>
      <c r="I36" s="89" t="n"/>
      <c r="J36" s="86" t="inlineStr">
        <is>
          <t>kg/m³</t>
        </is>
      </c>
      <c r="K36" s="85" t="n"/>
      <c r="L36" s="85" t="n"/>
      <c r="M36" s="84" t="inlineStr">
        <is>
          <t>Bases de diseño (Cajicá, 2 558 msnm, P_atm = 74.1 kPa, aire 20 °C)</t>
        </is>
      </c>
      <c r="N36" s="85" t="n"/>
      <c r="O36" s="85" t="n"/>
    </row>
    <row r="37" ht="150" customHeight="1">
      <c r="A37" s="84" t="inlineStr">
        <is>
          <t>Coeficiente de descarga orificio</t>
        </is>
      </c>
      <c r="B37" s="85" t="n"/>
      <c r="C37" s="85" t="n"/>
      <c r="D37" s="86" t="inlineStr">
        <is>
          <t>Cd</t>
        </is>
      </c>
      <c r="E37" s="85" t="n"/>
      <c r="F37" s="85" t="n"/>
      <c r="G37" s="88" t="n">
        <v>0.6</v>
      </c>
      <c r="H37" s="89" t="n"/>
      <c r="I37" s="89" t="n"/>
      <c r="J37" s="86" t="inlineStr">
        <is>
          <t>-</t>
        </is>
      </c>
      <c r="K37" s="85" t="n"/>
      <c r="L37" s="85" t="n"/>
      <c r="M37" s="84" t="inlineStr">
        <is>
          <t>Orificio borde afilado, ASHRAE Handbook Fundamentals</t>
        </is>
      </c>
      <c r="N37" s="85" t="n"/>
      <c r="O37" s="85" t="n"/>
    </row>
    <row r="38" ht="15" customHeight="1"/>
    <row r="39" ht="30" customHeight="1">
      <c r="A39" s="82" t="inlineStr">
        <is>
          <t>Notas:</t>
        </is>
      </c>
    </row>
    <row r="40" ht="240" customHeight="1">
      <c r="A40" s="87" t="inlineStr">
        <is>
          <t>• Modifique los valores en amarillo; todos los cálculos se actualizan automáticamente.</t>
        </is>
      </c>
    </row>
    <row r="41" ht="195" customHeight="1">
      <c r="A41" s="87" t="inlineStr">
        <is>
          <t>• Las fórmulas están visibles en la barra de fórmulas de cada celda.</t>
        </is>
      </c>
    </row>
    <row r="42" ht="150" customHeight="1">
      <c r="A42" s="87" t="inlineStr">
        <is>
          <t>• Unidades: 1 m³/min = 35.3147 CFM; 1 kW = 1.341 HP.</t>
        </is>
      </c>
    </row>
    <row r="43" ht="15" customHeight="1"/>
    <row r="44" ht="75" customHeight="1">
      <c r="A44" s="81" t="inlineStr">
        <is>
          <t>3. DESARROLLO DE CÁLCULOS</t>
        </is>
      </c>
    </row>
    <row r="45" ht="15" customHeight="1"/>
    <row r="46" ht="45" customHeight="1">
      <c r="A46" s="83" t="inlineStr">
        <is>
          <t>Paso</t>
        </is>
      </c>
      <c r="B46" s="83" t="n"/>
      <c r="C46" s="83" t="n"/>
      <c r="D46" s="83" t="inlineStr">
        <is>
          <t>Descripción</t>
        </is>
      </c>
      <c r="E46" s="83" t="n"/>
      <c r="F46" s="83" t="n"/>
      <c r="G46" s="83" t="inlineStr">
        <is>
          <t>Fórmula / Valor</t>
        </is>
      </c>
      <c r="H46" s="83" t="n"/>
      <c r="I46" s="83" t="n"/>
      <c r="J46" s="83" t="inlineStr">
        <is>
          <t>Resultado</t>
        </is>
      </c>
      <c r="K46" s="83" t="n"/>
      <c r="L46" s="83" t="inlineStr">
        <is>
          <t>Unidad</t>
        </is>
      </c>
      <c r="M46" s="83" t="n"/>
      <c r="N46" s="83" t="inlineStr">
        <is>
          <t>Referencia celda</t>
        </is>
      </c>
      <c r="O46" s="83" t="n"/>
    </row>
    <row r="47" ht="75" customHeight="1">
      <c r="A47" s="86" t="inlineStr">
        <is>
          <t>1</t>
        </is>
      </c>
      <c r="B47" s="85" t="n"/>
      <c r="C47" s="85" t="n"/>
      <c r="D47" s="84" t="inlineStr">
        <is>
          <t>Caudal de aire volumétrico</t>
        </is>
      </c>
      <c r="E47" s="85" t="n"/>
      <c r="F47" s="85" t="n"/>
      <c r="G47" s="90" t="inlineStr">
        <is>
          <t>Q = V × N / 60</t>
        </is>
      </c>
      <c r="H47" s="91" t="n"/>
      <c r="I47" s="91" t="n"/>
      <c r="J47" s="92">
        <f>G28*G29/60</f>
        <v/>
      </c>
      <c r="K47" s="93" t="n"/>
      <c r="L47" s="86" t="inlineStr">
        <is>
          <t>m³/min</t>
        </is>
      </c>
      <c r="M47" s="85" t="n"/>
      <c r="N47" s="86">
        <f>J47</f>
        <v/>
      </c>
      <c r="O47" s="85" t="n"/>
    </row>
    <row r="48" ht="60" customHeight="1">
      <c r="A48" s="86" t="inlineStr">
        <is>
          <t>2</t>
        </is>
      </c>
      <c r="B48" s="85" t="n"/>
      <c r="C48" s="85" t="n"/>
      <c r="D48" s="84" t="inlineStr">
        <is>
          <t>Caudal de aire en m³/h</t>
        </is>
      </c>
      <c r="E48" s="85" t="n"/>
      <c r="F48" s="85" t="n"/>
      <c r="G48" s="90" t="inlineStr">
        <is>
          <t>Q_h = Q × 60</t>
        </is>
      </c>
      <c r="H48" s="91" t="n"/>
      <c r="I48" s="91" t="n"/>
      <c r="J48" s="92">
        <f>J47*60</f>
        <v/>
      </c>
      <c r="K48" s="93" t="n"/>
      <c r="L48" s="86" t="inlineStr">
        <is>
          <t>m³/h</t>
        </is>
      </c>
      <c r="M48" s="85" t="n"/>
      <c r="N48" s="86">
        <f>J48</f>
        <v/>
      </c>
      <c r="O48" s="85" t="n"/>
    </row>
    <row r="49" ht="60" customHeight="1">
      <c r="A49" s="86" t="inlineStr">
        <is>
          <t>3</t>
        </is>
      </c>
      <c r="B49" s="85" t="n"/>
      <c r="C49" s="85" t="n"/>
      <c r="D49" s="84" t="inlineStr">
        <is>
          <t>Caudal de aire en CFM</t>
        </is>
      </c>
      <c r="E49" s="85" t="n"/>
      <c r="F49" s="85" t="n"/>
      <c r="G49" s="90" t="inlineStr">
        <is>
          <t>Q_cfm = Q × 35.3147</t>
        </is>
      </c>
      <c r="H49" s="91" t="n"/>
      <c r="I49" s="91" t="n"/>
      <c r="J49" s="92">
        <f>J47*35.3147</f>
        <v/>
      </c>
      <c r="K49" s="93" t="n"/>
      <c r="L49" s="86" t="inlineStr">
        <is>
          <t>CFM</t>
        </is>
      </c>
      <c r="M49" s="85" t="n"/>
      <c r="N49" s="86">
        <f>J49</f>
        <v/>
      </c>
      <c r="O49" s="85" t="n"/>
    </row>
    <row r="50" ht="45" customHeight="1">
      <c r="A50" s="86" t="inlineStr">
        <is>
          <t>4</t>
        </is>
      </c>
      <c r="B50" s="85" t="n"/>
      <c r="C50" s="85" t="n"/>
      <c r="D50" s="84" t="inlineStr">
        <is>
          <t>Caudal en m³/s</t>
        </is>
      </c>
      <c r="E50" s="85" t="n"/>
      <c r="F50" s="85" t="n"/>
      <c r="G50" s="90" t="inlineStr">
        <is>
          <t>Q_s = Q / 60</t>
        </is>
      </c>
      <c r="H50" s="91" t="n"/>
      <c r="I50" s="91" t="n"/>
      <c r="J50" s="92">
        <f>J47/60</f>
        <v/>
      </c>
      <c r="K50" s="93" t="n"/>
      <c r="L50" s="86" t="inlineStr">
        <is>
          <t>m³/s</t>
        </is>
      </c>
      <c r="M50" s="85" t="n"/>
      <c r="N50" s="86">
        <f>J50</f>
        <v/>
      </c>
      <c r="O50" s="85" t="n"/>
    </row>
    <row r="51" ht="90" customHeight="1">
      <c r="A51" s="86" t="inlineStr">
        <is>
          <t>5</t>
        </is>
      </c>
      <c r="B51" s="85" t="n"/>
      <c r="C51" s="85" t="n"/>
      <c r="D51" s="84" t="inlineStr">
        <is>
          <t>Potencia teórica del ventilador</t>
        </is>
      </c>
      <c r="E51" s="85" t="n"/>
      <c r="F51" s="85" t="n"/>
      <c r="G51" s="90" t="inlineStr">
        <is>
          <t>P = Q_s × ΔP / (η × 1000)</t>
        </is>
      </c>
      <c r="H51" s="91" t="n"/>
      <c r="I51" s="91" t="n"/>
      <c r="J51" s="92">
        <f>J50*G30/(G31*1000)</f>
        <v/>
      </c>
      <c r="K51" s="93" t="n"/>
      <c r="L51" s="86" t="inlineStr">
        <is>
          <t>kW</t>
        </is>
      </c>
      <c r="M51" s="85" t="n"/>
      <c r="N51" s="86">
        <f>J51</f>
        <v/>
      </c>
      <c r="O51" s="85" t="n"/>
    </row>
    <row r="52" ht="45" customHeight="1">
      <c r="A52" s="86" t="inlineStr">
        <is>
          <t>6</t>
        </is>
      </c>
      <c r="B52" s="85" t="n"/>
      <c r="C52" s="85" t="n"/>
      <c r="D52" s="84" t="inlineStr">
        <is>
          <t>Potencia en HP</t>
        </is>
      </c>
      <c r="E52" s="85" t="n"/>
      <c r="F52" s="85" t="n"/>
      <c r="G52" s="90" t="inlineStr">
        <is>
          <t>HP = P × 1.341</t>
        </is>
      </c>
      <c r="H52" s="91" t="n"/>
      <c r="I52" s="91" t="n"/>
      <c r="J52" s="92">
        <f>J51*1.341</f>
        <v/>
      </c>
      <c r="K52" s="93" t="n"/>
      <c r="L52" s="86" t="inlineStr">
        <is>
          <t>HP</t>
        </is>
      </c>
      <c r="M52" s="85" t="n"/>
      <c r="N52" s="86">
        <f>J52</f>
        <v/>
      </c>
      <c r="O52" s="85" t="n"/>
    </row>
    <row r="53" ht="90" customHeight="1">
      <c r="A53" s="86" t="inlineStr">
        <is>
          <t>7</t>
        </is>
      </c>
      <c r="B53" s="85" t="n"/>
      <c r="C53" s="85" t="n"/>
      <c r="D53" s="84" t="inlineStr">
        <is>
          <t>Área de impulsión del ventilador</t>
        </is>
      </c>
      <c r="E53" s="85" t="n"/>
      <c r="F53" s="85" t="n"/>
      <c r="G53" s="90" t="inlineStr">
        <is>
          <t>A_vent = Q_s / v_vent</t>
        </is>
      </c>
      <c r="H53" s="91" t="n"/>
      <c r="I53" s="91" t="n"/>
      <c r="J53" s="92">
        <f>J50/G32</f>
        <v/>
      </c>
      <c r="K53" s="93" t="n"/>
      <c r="L53" s="86" t="inlineStr">
        <is>
          <t>m²</t>
        </is>
      </c>
      <c r="M53" s="85" t="n"/>
      <c r="N53" s="86">
        <f>J53</f>
        <v/>
      </c>
      <c r="O53" s="85" t="n"/>
    </row>
    <row r="54" ht="105" customHeight="1">
      <c r="A54" s="86" t="inlineStr">
        <is>
          <t>8</t>
        </is>
      </c>
      <c r="B54" s="85" t="n"/>
      <c r="C54" s="85" t="n"/>
      <c r="D54" s="84" t="inlineStr">
        <is>
          <t>Diámetro equivalente del ventilador</t>
        </is>
      </c>
      <c r="E54" s="85" t="n"/>
      <c r="F54" s="85" t="n"/>
      <c r="G54" s="90" t="inlineStr">
        <is>
          <t>D = √(4×A_vent/π)</t>
        </is>
      </c>
      <c r="H54" s="91" t="n"/>
      <c r="I54" s="91" t="n"/>
      <c r="J54" s="92">
        <f>SQRT(4*J53/PI())</f>
        <v/>
      </c>
      <c r="K54" s="93" t="n"/>
      <c r="L54" s="86" t="inlineStr">
        <is>
          <t>m</t>
        </is>
      </c>
      <c r="M54" s="85" t="n"/>
      <c r="N54" s="86">
        <f>J54</f>
        <v/>
      </c>
      <c r="O54" s="85" t="n"/>
    </row>
    <row r="55" ht="60" customHeight="1">
      <c r="A55" s="86" t="inlineStr">
        <is>
          <t>9</t>
        </is>
      </c>
      <c r="B55" s="85" t="n"/>
      <c r="C55" s="85" t="n"/>
      <c r="D55" s="84" t="inlineStr">
        <is>
          <t>Radio del ventilador</t>
        </is>
      </c>
      <c r="E55" s="85" t="n"/>
      <c r="F55" s="85" t="n"/>
      <c r="G55" s="90" t="inlineStr">
        <is>
          <t>r = D / 2</t>
        </is>
      </c>
      <c r="H55" s="91" t="n"/>
      <c r="I55" s="91" t="n"/>
      <c r="J55" s="92">
        <f>J54/2</f>
        <v/>
      </c>
      <c r="K55" s="93" t="n"/>
      <c r="L55" s="86" t="inlineStr">
        <is>
          <t>m</t>
        </is>
      </c>
      <c r="M55" s="85" t="n"/>
      <c r="N55" s="86">
        <f>J55</f>
        <v/>
      </c>
      <c r="O55" s="85" t="n"/>
    </row>
    <row r="56" ht="75" customHeight="1">
      <c r="A56" s="86" t="inlineStr">
        <is>
          <t>10</t>
        </is>
      </c>
      <c r="B56" s="85" t="n"/>
      <c r="C56" s="85" t="n"/>
      <c r="D56" s="84" t="inlineStr">
        <is>
          <t>Radio del ventilador en mm</t>
        </is>
      </c>
      <c r="E56" s="85" t="n"/>
      <c r="F56" s="85" t="n"/>
      <c r="G56" s="90" t="inlineStr">
        <is>
          <t>r_mm = r × 1000</t>
        </is>
      </c>
      <c r="H56" s="91" t="n"/>
      <c r="I56" s="91" t="n"/>
      <c r="J56" s="92">
        <f>J55*1000</f>
        <v/>
      </c>
      <c r="K56" s="93" t="n"/>
      <c r="L56" s="86" t="inlineStr">
        <is>
          <t>mm</t>
        </is>
      </c>
      <c r="M56" s="85" t="n"/>
      <c r="N56" s="86">
        <f>J56</f>
        <v/>
      </c>
      <c r="O56" s="85" t="n"/>
    </row>
    <row r="57" ht="105" customHeight="1">
      <c r="A57" s="86" t="inlineStr">
        <is>
          <t>11</t>
        </is>
      </c>
      <c r="B57" s="85" t="n"/>
      <c r="C57" s="85" t="n"/>
      <c r="D57" s="84" t="inlineStr">
        <is>
          <t>Área neta total de rejillas de salida</t>
        </is>
      </c>
      <c r="E57" s="85" t="n"/>
      <c r="F57" s="85" t="n"/>
      <c r="G57" s="90" t="inlineStr">
        <is>
          <t>A_exfil = Q_s / v_sal</t>
        </is>
      </c>
      <c r="H57" s="91" t="n"/>
      <c r="I57" s="91" t="n"/>
      <c r="J57" s="92">
        <f>J50/G33</f>
        <v/>
      </c>
      <c r="K57" s="93" t="n"/>
      <c r="L57" s="86" t="inlineStr">
        <is>
          <t>m²</t>
        </is>
      </c>
      <c r="M57" s="85" t="n"/>
      <c r="N57" s="86">
        <f>J57</f>
        <v/>
      </c>
      <c r="O57" s="85" t="n"/>
    </row>
    <row r="58" ht="90" customHeight="1">
      <c r="A58" s="86" t="inlineStr">
        <is>
          <t>12</t>
        </is>
      </c>
      <c r="B58" s="85" t="n"/>
      <c r="C58" s="85" t="n"/>
      <c r="D58" s="84" t="inlineStr">
        <is>
          <t>Área neta por rejilla de salida</t>
        </is>
      </c>
      <c r="E58" s="85" t="n"/>
      <c r="F58" s="85" t="n"/>
      <c r="G58" s="90" t="inlineStr">
        <is>
          <t>A_rej = A_exfil / n_rej</t>
        </is>
      </c>
      <c r="H58" s="91" t="n"/>
      <c r="I58" s="91" t="n"/>
      <c r="J58" s="92">
        <f>J57/G34</f>
        <v/>
      </c>
      <c r="K58" s="93" t="n"/>
      <c r="L58" s="86" t="inlineStr">
        <is>
          <t>m²</t>
        </is>
      </c>
      <c r="M58" s="85" t="n"/>
      <c r="N58" s="86">
        <f>J58</f>
        <v/>
      </c>
      <c r="O58" s="85" t="n"/>
    </row>
    <row r="59" ht="105" customHeight="1">
      <c r="A59" s="86" t="inlineStr">
        <is>
          <t>13</t>
        </is>
      </c>
      <c r="B59" s="85" t="n"/>
      <c r="C59" s="85" t="n"/>
      <c r="D59" s="84" t="inlineStr">
        <is>
          <t>Altura de rejilla (proporción dada)</t>
        </is>
      </c>
      <c r="E59" s="85" t="n"/>
      <c r="F59" s="85" t="n"/>
      <c r="G59" s="90" t="inlineStr">
        <is>
          <t>h = √(A_rej / prop)</t>
        </is>
      </c>
      <c r="H59" s="91" t="n"/>
      <c r="I59" s="91" t="n"/>
      <c r="J59" s="92">
        <f>SQRT(J58/G35)</f>
        <v/>
      </c>
      <c r="K59" s="93" t="n"/>
      <c r="L59" s="86" t="inlineStr">
        <is>
          <t>m</t>
        </is>
      </c>
      <c r="M59" s="85" t="n"/>
      <c r="N59" s="86">
        <f>J59</f>
        <v/>
      </c>
      <c r="O59" s="85" t="n"/>
    </row>
    <row r="60" ht="45" customHeight="1">
      <c r="A60" s="86" t="inlineStr">
        <is>
          <t>14</t>
        </is>
      </c>
      <c r="B60" s="85" t="n"/>
      <c r="C60" s="85" t="n"/>
      <c r="D60" s="84" t="inlineStr">
        <is>
          <t>Ancho de rejilla</t>
        </is>
      </c>
      <c r="E60" s="85" t="n"/>
      <c r="F60" s="85" t="n"/>
      <c r="G60" s="90" t="inlineStr">
        <is>
          <t>w = A_rej / h</t>
        </is>
      </c>
      <c r="H60" s="91" t="n"/>
      <c r="I60" s="91" t="n"/>
      <c r="J60" s="92">
        <f>J58/J59</f>
        <v/>
      </c>
      <c r="K60" s="93" t="n"/>
      <c r="L60" s="86" t="inlineStr">
        <is>
          <t>m</t>
        </is>
      </c>
      <c r="M60" s="85" t="n"/>
      <c r="N60" s="86">
        <f>J60</f>
        <v/>
      </c>
      <c r="O60" s="85" t="n"/>
    </row>
    <row r="61" ht="75" customHeight="1">
      <c r="A61" s="86" t="inlineStr">
        <is>
          <t>15</t>
        </is>
      </c>
      <c r="B61" s="85" t="n"/>
      <c r="C61" s="85" t="n"/>
      <c r="D61" s="84" t="inlineStr">
        <is>
          <t>Altura de rejilla en mm</t>
        </is>
      </c>
      <c r="E61" s="85" t="n"/>
      <c r="F61" s="85" t="n"/>
      <c r="G61" s="90" t="inlineStr">
        <is>
          <t>h_mm = h × 1000</t>
        </is>
      </c>
      <c r="H61" s="91" t="n"/>
      <c r="I61" s="91" t="n"/>
      <c r="J61" s="92">
        <f>J59*1000</f>
        <v/>
      </c>
      <c r="K61" s="93" t="n"/>
      <c r="L61" s="86" t="inlineStr">
        <is>
          <t>mm</t>
        </is>
      </c>
      <c r="M61" s="85" t="n"/>
      <c r="N61" s="86">
        <f>J61</f>
        <v/>
      </c>
      <c r="O61" s="85" t="n"/>
    </row>
    <row r="62" ht="60" customHeight="1">
      <c r="A62" s="86" t="inlineStr">
        <is>
          <t>16</t>
        </is>
      </c>
      <c r="B62" s="85" t="n"/>
      <c r="C62" s="85" t="n"/>
      <c r="D62" s="84" t="inlineStr">
        <is>
          <t>Ancho de rejilla en mm</t>
        </is>
      </c>
      <c r="E62" s="85" t="n"/>
      <c r="F62" s="85" t="n"/>
      <c r="G62" s="90" t="inlineStr">
        <is>
          <t>w_mm = w × 1000</t>
        </is>
      </c>
      <c r="H62" s="91" t="n"/>
      <c r="I62" s="91" t="n"/>
      <c r="J62" s="92">
        <f>J60*1000</f>
        <v/>
      </c>
      <c r="K62" s="93" t="n"/>
      <c r="L62" s="86" t="inlineStr">
        <is>
          <t>mm</t>
        </is>
      </c>
      <c r="M62" s="85" t="n"/>
      <c r="N62" s="86">
        <f>J62</f>
        <v/>
      </c>
      <c r="O62" s="85" t="n"/>
    </row>
    <row r="63" ht="135" customHeight="1">
      <c r="A63" s="86" t="inlineStr">
        <is>
          <t>17</t>
        </is>
      </c>
      <c r="B63" s="85" t="n"/>
      <c r="C63" s="85" t="n"/>
      <c r="D63" s="84" t="inlineStr">
        <is>
          <t>Pérdida de presión en rejillas (descarga libre)</t>
        </is>
      </c>
      <c r="E63" s="85" t="n"/>
      <c r="F63" s="85" t="n"/>
      <c r="G63" s="90" t="inlineStr">
        <is>
          <t>dP = (rho/2)×(Q_s/(Cd×A_exfil))²</t>
        </is>
      </c>
      <c r="H63" s="91" t="n"/>
      <c r="I63" s="91" t="n"/>
      <c r="J63" s="92">
        <f>G36/2*(J50/(G37*J57))^2</f>
        <v/>
      </c>
      <c r="K63" s="93" t="n"/>
      <c r="L63" s="86" t="inlineStr">
        <is>
          <t>Pa</t>
        </is>
      </c>
      <c r="M63" s="85" t="n"/>
      <c r="N63" s="86">
        <f>J63</f>
        <v/>
      </c>
      <c r="O63" s="85" t="n"/>
    </row>
    <row r="64" ht="15" customHeight="1"/>
    <row r="65" ht="105" customHeight="1">
      <c r="A65" s="81" t="inlineStr">
        <is>
          <t>4. RESUMEN DE RESULTADOS DE DISEÑO</t>
        </is>
      </c>
    </row>
    <row r="66" ht="15" customHeight="1"/>
    <row r="67" ht="30" customHeight="1">
      <c r="A67" s="83" t="inlineStr">
        <is>
          <t>Parámetro</t>
        </is>
      </c>
      <c r="B67" s="83" t="n"/>
      <c r="C67" s="83" t="n"/>
      <c r="D67" s="83" t="n"/>
      <c r="E67" s="83" t="inlineStr">
        <is>
          <t>Valor</t>
        </is>
      </c>
      <c r="F67" s="83" t="n"/>
      <c r="G67" s="83" t="n"/>
      <c r="H67" s="83" t="n"/>
      <c r="I67" s="83" t="inlineStr">
        <is>
          <t>Unidad</t>
        </is>
      </c>
      <c r="J67" s="83" t="n"/>
      <c r="K67" s="83" t="n"/>
      <c r="L67" s="83" t="n"/>
      <c r="M67" s="83" t="inlineStr">
        <is>
          <t>Observación</t>
        </is>
      </c>
      <c r="N67" s="83" t="n"/>
      <c r="O67" s="83" t="n"/>
    </row>
    <row r="68" ht="90" customHeight="1">
      <c r="A68" s="84" t="inlineStr">
        <is>
          <t>Caudal de diseño</t>
        </is>
      </c>
      <c r="B68" s="85" t="n"/>
      <c r="C68" s="85" t="n"/>
      <c r="D68" s="85" t="n"/>
      <c r="E68" s="92">
        <f>J47</f>
        <v/>
      </c>
      <c r="F68" s="93" t="n"/>
      <c r="G68" s="93" t="n"/>
      <c r="H68" s="93" t="n"/>
      <c r="I68" s="86" t="inlineStr">
        <is>
          <t>m³/min</t>
        </is>
      </c>
      <c r="J68" s="85" t="n"/>
      <c r="K68" s="85" t="n"/>
      <c r="L68" s="85" t="n"/>
      <c r="M68" s="84" t="inlineStr">
        <is>
          <t>Caudal de impulsión requerido</t>
        </is>
      </c>
      <c r="N68" s="85" t="n"/>
      <c r="O68" s="85" t="n"/>
    </row>
    <row r="69" ht="105" customHeight="1">
      <c r="A69" s="84" t="inlineStr">
        <is>
          <t>Caudal de diseño</t>
        </is>
      </c>
      <c r="B69" s="85" t="n"/>
      <c r="C69" s="85" t="n"/>
      <c r="D69" s="85" t="n"/>
      <c r="E69" s="92">
        <f>J48</f>
        <v/>
      </c>
      <c r="F69" s="93" t="n"/>
      <c r="G69" s="93" t="n"/>
      <c r="H69" s="93" t="n"/>
      <c r="I69" s="86" t="inlineStr">
        <is>
          <t>m³/h</t>
        </is>
      </c>
      <c r="J69" s="85" t="n"/>
      <c r="K69" s="85" t="n"/>
      <c r="L69" s="85" t="n"/>
      <c r="M69" s="84" t="inlineStr">
        <is>
          <t>Equivalente en metros cúbicos por hora</t>
        </is>
      </c>
      <c r="N69" s="85" t="n"/>
      <c r="O69" s="85" t="n"/>
    </row>
    <row r="70" ht="105" customHeight="1">
      <c r="A70" s="84" t="inlineStr">
        <is>
          <t>Caudal de diseño</t>
        </is>
      </c>
      <c r="B70" s="85" t="n"/>
      <c r="C70" s="85" t="n"/>
      <c r="D70" s="85" t="n"/>
      <c r="E70" s="92">
        <f>J49</f>
        <v/>
      </c>
      <c r="F70" s="93" t="n"/>
      <c r="G70" s="93" t="n"/>
      <c r="H70" s="93" t="n"/>
      <c r="I70" s="86" t="inlineStr">
        <is>
          <t>CFM</t>
        </is>
      </c>
      <c r="J70" s="85" t="n"/>
      <c r="K70" s="85" t="n"/>
      <c r="L70" s="85" t="n"/>
      <c r="M70" s="84" t="inlineStr">
        <is>
          <t>Equivalente en pies cúbicos por minuto</t>
        </is>
      </c>
      <c r="N70" s="85" t="n"/>
      <c r="O70" s="85" t="n"/>
    </row>
    <row r="71" ht="135" customHeight="1">
      <c r="A71" s="84" t="inlineStr">
        <is>
          <t>Potencia teórica del ventilador</t>
        </is>
      </c>
      <c r="B71" s="85" t="n"/>
      <c r="C71" s="85" t="n"/>
      <c r="D71" s="85" t="n"/>
      <c r="E71" s="92">
        <f>J51</f>
        <v/>
      </c>
      <c r="F71" s="93" t="n"/>
      <c r="G71" s="93" t="n"/>
      <c r="H71" s="93" t="n"/>
      <c r="I71" s="86" t="inlineStr">
        <is>
          <t>kW</t>
        </is>
      </c>
      <c r="J71" s="85" t="n"/>
      <c r="K71" s="85" t="n"/>
      <c r="L71" s="85" t="n"/>
      <c r="M71" s="84" t="inlineStr">
        <is>
          <t>Escenario MERV cargado a 165 Pa y η=0.55 (axial)</t>
        </is>
      </c>
      <c r="N71" s="85" t="n"/>
      <c r="O71" s="85" t="n"/>
    </row>
    <row r="72" ht="90" customHeight="1">
      <c r="A72" s="84" t="inlineStr">
        <is>
          <t>Potencia teórica del ventilador</t>
        </is>
      </c>
      <c r="B72" s="85" t="n"/>
      <c r="C72" s="85" t="n"/>
      <c r="D72" s="85" t="n"/>
      <c r="E72" s="92">
        <f>J52</f>
        <v/>
      </c>
      <c r="F72" s="93" t="n"/>
      <c r="G72" s="93" t="n"/>
      <c r="H72" s="93" t="n"/>
      <c r="I72" s="86" t="inlineStr">
        <is>
          <t>HP</t>
        </is>
      </c>
      <c r="J72" s="85" t="n"/>
      <c r="K72" s="85" t="n"/>
      <c r="L72" s="85" t="n"/>
      <c r="M72" s="84" t="inlineStr">
        <is>
          <t>Unidades imperiales</t>
        </is>
      </c>
      <c r="N72" s="85" t="n"/>
      <c r="O72" s="85" t="n"/>
    </row>
    <row r="73" ht="210" customHeight="1">
      <c r="A73" s="84" t="inlineStr">
        <is>
          <t>Potencia instalada recomendada</t>
        </is>
      </c>
      <c r="B73" s="85" t="n"/>
      <c r="C73" s="85" t="n"/>
      <c r="D73" s="85" t="n"/>
      <c r="E73" s="92">
        <f>CEILING(J52*1.5,0.25)</f>
        <v/>
      </c>
      <c r="F73" s="93" t="n"/>
      <c r="G73" s="93" t="n"/>
      <c r="H73" s="93" t="n"/>
      <c r="I73" s="86" t="inlineStr">
        <is>
          <t>HP</t>
        </is>
      </c>
      <c r="J73" s="85" t="n"/>
      <c r="K73" s="85" t="n"/>
      <c r="L73" s="85" t="n"/>
      <c r="M73" s="84" t="inlineStr">
        <is>
          <t>×1.5 margen de servicio, redondeo 0.25 HP (provisional; confirmar con catálogo)</t>
        </is>
      </c>
      <c r="N73" s="85" t="n"/>
      <c r="O73" s="85" t="n"/>
    </row>
    <row r="74" ht="90" customHeight="1">
      <c r="A74" s="84" t="inlineStr">
        <is>
          <t>Área de impulsión del ventilador</t>
        </is>
      </c>
      <c r="B74" s="85" t="n"/>
      <c r="C74" s="85" t="n"/>
      <c r="D74" s="85" t="n"/>
      <c r="E74" s="92">
        <f>J53</f>
        <v/>
      </c>
      <c r="F74" s="93" t="n"/>
      <c r="G74" s="93" t="n"/>
      <c r="H74" s="93" t="n"/>
      <c r="I74" s="86" t="inlineStr">
        <is>
          <t>m²</t>
        </is>
      </c>
      <c r="J74" s="85" t="n"/>
      <c r="K74" s="85" t="n"/>
      <c r="L74" s="85" t="n"/>
      <c r="M74" s="84" t="inlineStr">
        <is>
          <t>Boca del ventilador</t>
        </is>
      </c>
      <c r="N74" s="85" t="n"/>
      <c r="O74" s="85" t="n"/>
    </row>
    <row r="75" ht="105" customHeight="1">
      <c r="A75" s="84" t="inlineStr">
        <is>
          <t>Diámetro equivalente del ventilador</t>
        </is>
      </c>
      <c r="B75" s="85" t="n"/>
      <c r="C75" s="85" t="n"/>
      <c r="D75" s="85" t="n"/>
      <c r="E75" s="92">
        <f>J54</f>
        <v/>
      </c>
      <c r="F75" s="93" t="n"/>
      <c r="G75" s="93" t="n"/>
      <c r="H75" s="93" t="n"/>
      <c r="I75" s="86" t="inlineStr">
        <is>
          <t>m</t>
        </is>
      </c>
      <c r="J75" s="85" t="n"/>
      <c r="K75" s="85" t="n"/>
      <c r="L75" s="85" t="n"/>
      <c r="M75" s="84" t="inlineStr">
        <is>
          <t>Para referencia</t>
        </is>
      </c>
      <c r="N75" s="85" t="n"/>
      <c r="O75" s="85" t="n"/>
    </row>
    <row r="76" ht="75" customHeight="1">
      <c r="A76" s="84" t="inlineStr">
        <is>
          <t>Radio del ventilador (CFD)</t>
        </is>
      </c>
      <c r="B76" s="85" t="n"/>
      <c r="C76" s="85" t="n"/>
      <c r="D76" s="85" t="n"/>
      <c r="E76" s="92">
        <f>J56</f>
        <v/>
      </c>
      <c r="F76" s="93" t="n"/>
      <c r="G76" s="93" t="n"/>
      <c r="H76" s="93" t="n"/>
      <c r="I76" s="86" t="inlineStr">
        <is>
          <t>mm</t>
        </is>
      </c>
      <c r="J76" s="85" t="n"/>
      <c r="K76" s="85" t="n"/>
      <c r="L76" s="85" t="n"/>
      <c r="M76" s="84" t="inlineStr">
        <is>
          <t>Círculo de inyección</t>
        </is>
      </c>
      <c r="N76" s="85" t="n"/>
      <c r="O76" s="85" t="n"/>
    </row>
    <row r="77" ht="75" customHeight="1">
      <c r="A77" s="84" t="inlineStr">
        <is>
          <t>Velocidad de impulsión</t>
        </is>
      </c>
      <c r="B77" s="85" t="n"/>
      <c r="C77" s="85" t="n"/>
      <c r="D77" s="85" t="n"/>
      <c r="E77" s="92">
        <f>G32</f>
        <v/>
      </c>
      <c r="F77" s="93" t="n"/>
      <c r="G77" s="93" t="n"/>
      <c r="H77" s="93" t="n"/>
      <c r="I77" s="86" t="inlineStr">
        <is>
          <t>m/s</t>
        </is>
      </c>
      <c r="J77" s="85" t="n"/>
      <c r="K77" s="85" t="n"/>
      <c r="L77" s="85" t="n"/>
      <c r="M77" s="84" t="inlineStr">
        <is>
          <t>Condición de entrada CFD</t>
        </is>
      </c>
      <c r="N77" s="85" t="n"/>
      <c r="O77" s="85" t="n"/>
    </row>
    <row r="78" ht="105" customHeight="1">
      <c r="A78" s="84" t="inlineStr">
        <is>
          <t>Área neta total de rejillas de salida</t>
        </is>
      </c>
      <c r="B78" s="85" t="n"/>
      <c r="C78" s="85" t="n"/>
      <c r="D78" s="85" t="n"/>
      <c r="E78" s="92">
        <f>J57</f>
        <v/>
      </c>
      <c r="F78" s="93" t="n"/>
      <c r="G78" s="93" t="n"/>
      <c r="H78" s="93" t="n"/>
      <c r="I78" s="86" t="inlineStr">
        <is>
          <t>m²</t>
        </is>
      </c>
      <c r="J78" s="85" t="n"/>
      <c r="K78" s="85" t="n"/>
      <c r="L78" s="85" t="n"/>
      <c r="M78" s="84" t="inlineStr">
        <is>
          <t>A v=3 m/s</t>
        </is>
      </c>
      <c r="N78" s="85" t="n"/>
      <c r="O78" s="85" t="n"/>
    </row>
    <row r="79" ht="75" customHeight="1">
      <c r="A79" s="84" t="inlineStr">
        <is>
          <t>Número de rejillas de salida</t>
        </is>
      </c>
      <c r="B79" s="85" t="n"/>
      <c r="C79" s="85" t="n"/>
      <c r="D79" s="85" t="n"/>
      <c r="E79" s="92">
        <f>G34</f>
        <v/>
      </c>
      <c r="F79" s="93" t="n"/>
      <c r="G79" s="93" t="n"/>
      <c r="H79" s="93" t="n"/>
      <c r="I79" s="86" t="inlineStr">
        <is>
          <t>unid.</t>
        </is>
      </c>
      <c r="J79" s="85" t="n"/>
      <c r="K79" s="85" t="n"/>
      <c r="L79" s="85" t="n"/>
      <c r="M79" s="84" t="inlineStr">
        <is>
          <t>Distribución propuesta</t>
        </is>
      </c>
      <c r="N79" s="85" t="n"/>
      <c r="O79" s="85" t="n"/>
    </row>
    <row r="80" ht="90" customHeight="1">
      <c r="A80" s="84" t="inlineStr">
        <is>
          <t>Área neta por rejilla de salida</t>
        </is>
      </c>
      <c r="B80" s="85" t="n"/>
      <c r="C80" s="85" t="n"/>
      <c r="D80" s="85" t="n"/>
      <c r="E80" s="92">
        <f>J58</f>
        <v/>
      </c>
      <c r="F80" s="93" t="n"/>
      <c r="G80" s="93" t="n"/>
      <c r="H80" s="93" t="n"/>
      <c r="I80" s="86" t="inlineStr">
        <is>
          <t>m²</t>
        </is>
      </c>
      <c r="J80" s="85" t="n"/>
      <c r="K80" s="85" t="n"/>
      <c r="L80" s="85" t="n"/>
      <c r="M80" s="84" t="inlineStr">
        <is>
          <t>Cada rejilla</t>
        </is>
      </c>
      <c r="N80" s="85" t="n"/>
      <c r="O80" s="85" t="n"/>
    </row>
    <row r="81" ht="75" customHeight="1">
      <c r="A81" s="84" t="inlineStr">
        <is>
          <t>Altura de rejilla de salida</t>
        </is>
      </c>
      <c r="B81" s="85" t="n"/>
      <c r="C81" s="85" t="n"/>
      <c r="D81" s="85" t="n"/>
      <c r="E81" s="92">
        <f>J61</f>
        <v/>
      </c>
      <c r="F81" s="93" t="n"/>
      <c r="G81" s="93" t="n"/>
      <c r="H81" s="93" t="n"/>
      <c r="I81" s="86" t="inlineStr">
        <is>
          <t>mm</t>
        </is>
      </c>
      <c r="J81" s="85" t="n"/>
      <c r="K81" s="85" t="n"/>
      <c r="L81" s="85" t="n"/>
      <c r="M81" s="84" t="inlineStr">
        <is>
          <t>Dimensiones para CFD</t>
        </is>
      </c>
      <c r="N81" s="85" t="n"/>
      <c r="O81" s="85" t="n"/>
    </row>
    <row r="82" ht="75" customHeight="1">
      <c r="A82" s="84" t="inlineStr">
        <is>
          <t>Ancho de rejilla de salida</t>
        </is>
      </c>
      <c r="B82" s="85" t="n"/>
      <c r="C82" s="85" t="n"/>
      <c r="D82" s="85" t="n"/>
      <c r="E82" s="92">
        <f>J62</f>
        <v/>
      </c>
      <c r="F82" s="93" t="n"/>
      <c r="G82" s="93" t="n"/>
      <c r="H82" s="93" t="n"/>
      <c r="I82" s="86" t="inlineStr">
        <is>
          <t>mm</t>
        </is>
      </c>
      <c r="J82" s="85" t="n"/>
      <c r="K82" s="85" t="n"/>
      <c r="L82" s="85" t="n"/>
      <c r="M82" s="84" t="inlineStr">
        <is>
          <t>Dimensiones para CFD</t>
        </is>
      </c>
      <c r="N82" s="85" t="n"/>
      <c r="O82" s="85" t="n"/>
    </row>
    <row r="83" ht="120" customHeight="1">
      <c r="A83" s="84" t="inlineStr">
        <is>
          <t>Velocidad de exfiltración</t>
        </is>
      </c>
      <c r="B83" s="85" t="n"/>
      <c r="C83" s="85" t="n"/>
      <c r="D83" s="85" t="n"/>
      <c r="E83" s="92">
        <f>G33</f>
        <v/>
      </c>
      <c r="F83" s="93" t="n"/>
      <c r="G83" s="93" t="n"/>
      <c r="H83" s="93" t="n"/>
      <c r="I83" s="86" t="inlineStr">
        <is>
          <t>m/s</t>
        </is>
      </c>
      <c r="J83" s="85" t="n"/>
      <c r="K83" s="85" t="n"/>
      <c r="L83" s="85" t="n"/>
      <c r="M83" s="84" t="inlineStr">
        <is>
          <t>Condición de salida CFD (pressure outlet)</t>
        </is>
      </c>
      <c r="N83" s="85" t="n"/>
      <c r="O83" s="85" t="n"/>
    </row>
    <row r="84" ht="105" customHeight="1">
      <c r="A84" s="84" t="inlineStr">
        <is>
          <t>Pérdida de presión en rejillas</t>
        </is>
      </c>
      <c r="B84" s="85" t="n"/>
      <c r="C84" s="85" t="n"/>
      <c r="D84" s="85" t="n"/>
      <c r="E84" s="92">
        <f>J63</f>
        <v/>
      </c>
      <c r="F84" s="93" t="n"/>
      <c r="G84" s="93" t="n"/>
      <c r="H84" s="93" t="n"/>
      <c r="I84" s="86" t="inlineStr">
        <is>
          <t>Pa</t>
        </is>
      </c>
      <c r="J84" s="85" t="n"/>
      <c r="K84" s="85" t="n"/>
      <c r="L84" s="85" t="n"/>
      <c r="M84" s="84" t="inlineStr">
        <is>
          <t>Descarga libre a atmósfera, Cd=0.6</t>
        </is>
      </c>
      <c r="N84" s="85" t="n"/>
      <c r="O84" s="85" t="n"/>
    </row>
    <row r="85" ht="15" customHeight="1"/>
    <row r="86" ht="135" customHeight="1">
      <c r="A86" s="81" t="inlineStr">
        <is>
          <t>5. SUSTENTACIÓN NORMATIVA — 12 RENOVACIONES/HORA</t>
        </is>
      </c>
    </row>
    <row r="87" ht="15" customHeight="1"/>
    <row r="88" ht="60" customHeight="1">
      <c r="A88" s="83" t="inlineStr">
        <is>
          <t>Norma / Guía</t>
        </is>
      </c>
      <c r="B88" s="83" t="n"/>
      <c r="C88" s="83" t="n"/>
      <c r="D88" s="83" t="n"/>
      <c r="E88" s="83" t="inlineStr">
        <is>
          <t>Año / Edición</t>
        </is>
      </c>
      <c r="F88" s="83" t="n"/>
      <c r="G88" s="83" t="n"/>
      <c r="H88" s="83" t="n"/>
      <c r="I88" s="83" t="inlineStr">
        <is>
          <t>Recomendación ACH</t>
        </is>
      </c>
      <c r="J88" s="83" t="n"/>
      <c r="K88" s="83" t="n"/>
      <c r="L88" s="83" t="n"/>
      <c r="M88" s="83" t="inlineStr">
        <is>
          <t>Observación</t>
        </is>
      </c>
      <c r="N88" s="83" t="n"/>
      <c r="O88" s="83" t="n"/>
    </row>
    <row r="89" ht="135" customHeight="1">
      <c r="A89" s="84" t="inlineStr">
        <is>
          <t>ASHRAE 170 — Ventilation of Health Care Facilities</t>
        </is>
      </c>
      <c r="B89" s="85" t="n"/>
      <c r="C89" s="85" t="n"/>
      <c r="D89" s="85" t="n"/>
      <c r="E89" s="86" t="inlineStr">
        <is>
          <t>2021</t>
        </is>
      </c>
      <c r="F89" s="85" t="n"/>
      <c r="G89" s="85" t="n"/>
      <c r="H89" s="85" t="n"/>
      <c r="I89" s="86" t="inlineStr">
        <is>
          <t>6–15 ACH</t>
        </is>
      </c>
      <c r="J89" s="85" t="n"/>
      <c r="K89" s="85" t="n"/>
      <c r="L89" s="85" t="n"/>
      <c r="M89" s="84" t="inlineStr">
        <is>
          <t>Laboratorios clínicos/procedimiento</t>
        </is>
      </c>
      <c r="N89" s="85" t="n"/>
      <c r="O89" s="85" t="n"/>
    </row>
    <row r="90" ht="120" customHeight="1">
      <c r="A90" s="84" t="inlineStr">
        <is>
          <t>ASHRAE 62.1 — Ventilation for Acceptable IAQ</t>
        </is>
      </c>
      <c r="B90" s="85" t="n"/>
      <c r="C90" s="85" t="n"/>
      <c r="D90" s="85" t="n"/>
      <c r="E90" s="86" t="inlineStr">
        <is>
          <t>2022</t>
        </is>
      </c>
      <c r="F90" s="85" t="n"/>
      <c r="G90" s="85" t="n"/>
      <c r="H90" s="85" t="n"/>
      <c r="I90" s="86" t="inlineStr">
        <is>
          <t>Por ocupación y área</t>
        </is>
      </c>
      <c r="J90" s="85" t="n"/>
      <c r="K90" s="85" t="n"/>
      <c r="L90" s="85" t="n"/>
      <c r="M90" s="84" t="inlineStr">
        <is>
          <t>Caudal mínimo de aire exterior</t>
        </is>
      </c>
      <c r="N90" s="85" t="n"/>
      <c r="O90" s="85" t="n"/>
    </row>
    <row r="91" ht="120" customHeight="1">
      <c r="A91" s="84" t="inlineStr">
        <is>
          <t>OSHA 29 CFR 1910.1450 — Laboratory Standard</t>
        </is>
      </c>
      <c r="B91" s="85" t="n"/>
      <c r="C91" s="85" t="n"/>
      <c r="D91" s="85" t="n"/>
      <c r="E91" s="86" t="inlineStr">
        <is>
          <t>2012</t>
        </is>
      </c>
      <c r="F91" s="85" t="n"/>
      <c r="G91" s="85" t="n"/>
      <c r="H91" s="85" t="n"/>
      <c r="I91" s="86" t="inlineStr">
        <is>
          <t>Según PEL</t>
        </is>
      </c>
      <c r="J91" s="85" t="n"/>
      <c r="K91" s="85" t="n"/>
      <c r="L91" s="85" t="n"/>
      <c r="M91" s="84" t="inlineStr">
        <is>
          <t>Ventilación para control de exposición</t>
        </is>
      </c>
      <c r="N91" s="85" t="n"/>
      <c r="O91" s="85" t="n"/>
    </row>
    <row r="92" ht="105" customHeight="1">
      <c r="A92" s="84" t="inlineStr">
        <is>
          <t>NFPA 99 — Health Care Facilities Code</t>
        </is>
      </c>
      <c r="B92" s="85" t="n"/>
      <c r="C92" s="85" t="n"/>
      <c r="D92" s="85" t="n"/>
      <c r="E92" s="86" t="inlineStr">
        <is>
          <t>2021</t>
        </is>
      </c>
      <c r="F92" s="85" t="n"/>
      <c r="G92" s="85" t="n"/>
      <c r="H92" s="85" t="n"/>
      <c r="I92" s="86" t="inlineStr">
        <is>
          <t>Cumplimiento de sistemas</t>
        </is>
      </c>
      <c r="J92" s="85" t="n"/>
      <c r="K92" s="85" t="n"/>
      <c r="L92" s="85" t="n"/>
      <c r="M92" s="84" t="inlineStr">
        <is>
          <t>Fiabilidad de sistemas de aire</t>
        </is>
      </c>
      <c r="N92" s="85" t="n"/>
      <c r="O92" s="85" t="n"/>
    </row>
    <row r="93" ht="120" customHeight="1">
      <c r="A93" s="84" t="inlineStr">
        <is>
          <t>WHO — Laboratory Biosafety Manual (BSL-2)</t>
        </is>
      </c>
      <c r="B93" s="85" t="n"/>
      <c r="C93" s="85" t="n"/>
      <c r="D93" s="85" t="n"/>
      <c r="E93" s="86" t="inlineStr">
        <is>
          <t>2004</t>
        </is>
      </c>
      <c r="F93" s="85" t="n"/>
      <c r="G93" s="85" t="n"/>
      <c r="H93" s="85" t="n"/>
      <c r="I93" s="86" t="inlineStr">
        <is>
          <t>6–12 ACH</t>
        </is>
      </c>
      <c r="J93" s="85" t="n"/>
      <c r="K93" s="85" t="n"/>
      <c r="L93" s="85" t="n"/>
      <c r="M93" s="84" t="inlineStr">
        <is>
          <t>12 ACH = límite superior BSL-2</t>
        </is>
      </c>
      <c r="N93" s="85" t="n"/>
      <c r="O93" s="85" t="n"/>
    </row>
    <row r="94" ht="120" customHeight="1">
      <c r="A94" s="84" t="inlineStr">
        <is>
          <t>WHO — Laboratory Biosafety Manual (BSL-3)</t>
        </is>
      </c>
      <c r="B94" s="85" t="n"/>
      <c r="C94" s="85" t="n"/>
      <c r="D94" s="85" t="n"/>
      <c r="E94" s="86" t="inlineStr">
        <is>
          <t>2004</t>
        </is>
      </c>
      <c r="F94" s="85" t="n"/>
      <c r="G94" s="85" t="n"/>
      <c r="H94" s="85" t="n"/>
      <c r="I94" s="86" t="inlineStr">
        <is>
          <t>12–15 ACH</t>
        </is>
      </c>
      <c r="J94" s="85" t="n"/>
      <c r="K94" s="85" t="n"/>
      <c r="L94" s="85" t="n"/>
      <c r="M94" s="84" t="inlineStr">
        <is>
          <t>12 ACH = umbral inferior BSL-3</t>
        </is>
      </c>
      <c r="N94" s="85" t="n"/>
      <c r="O94" s="85" t="n"/>
    </row>
    <row r="95" ht="120" customHeight="1">
      <c r="A95" s="84" t="inlineStr">
        <is>
          <t>NIH — Design Requirements Manual</t>
        </is>
      </c>
      <c r="B95" s="85" t="n"/>
      <c r="C95" s="85" t="n"/>
      <c r="D95" s="85" t="n"/>
      <c r="E95" s="86" t="inlineStr">
        <is>
          <t>2023</t>
        </is>
      </c>
      <c r="F95" s="85" t="n"/>
      <c r="G95" s="85" t="n"/>
      <c r="H95" s="85" t="n"/>
      <c r="I95" s="86" t="inlineStr">
        <is>
          <t>10–12 ACH</t>
        </is>
      </c>
      <c r="J95" s="85" t="n"/>
      <c r="K95" s="85" t="n"/>
      <c r="L95" s="85" t="n"/>
      <c r="M95" s="84" t="inlineStr">
        <is>
          <t>Punto de diseño para laboratorios biomédicos</t>
        </is>
      </c>
      <c r="N95" s="85" t="n"/>
      <c r="O95" s="85" t="n"/>
    </row>
    <row r="96" ht="120" customHeight="1">
      <c r="A96" s="84" t="inlineStr">
        <is>
          <t>ASHRAE Handbook — Fundamentals</t>
        </is>
      </c>
      <c r="B96" s="85" t="n"/>
      <c r="C96" s="85" t="n"/>
      <c r="D96" s="85" t="n"/>
      <c r="E96" s="86" t="inlineStr">
        <is>
          <t>2021</t>
        </is>
      </c>
      <c r="F96" s="85" t="n"/>
      <c r="G96" s="85" t="n"/>
      <c r="H96" s="85" t="n"/>
      <c r="I96" s="86" t="inlineStr">
        <is>
          <t>—</t>
        </is>
      </c>
      <c r="J96" s="85" t="n"/>
      <c r="K96" s="85" t="n"/>
      <c r="L96" s="85" t="n"/>
      <c r="M96" s="84" t="inlineStr">
        <is>
          <t>Coeficiente de descarga de orificios (Cd)</t>
        </is>
      </c>
      <c r="N96" s="85" t="n"/>
      <c r="O96" s="85" t="n"/>
    </row>
    <row r="97" ht="120" customHeight="1">
      <c r="A97" s="84" t="inlineStr">
        <is>
          <t>RETIE (Colombia)</t>
        </is>
      </c>
      <c r="B97" s="85" t="n"/>
      <c r="C97" s="85" t="n"/>
      <c r="D97" s="85" t="n"/>
      <c r="E97" s="86" t="inlineStr">
        <is>
          <t>vigente</t>
        </is>
      </c>
      <c r="F97" s="85" t="n"/>
      <c r="G97" s="85" t="n"/>
      <c r="H97" s="85" t="n"/>
      <c r="I97" s="86" t="inlineStr">
        <is>
          <t>—</t>
        </is>
      </c>
      <c r="J97" s="85" t="n"/>
      <c r="K97" s="85" t="n"/>
      <c r="L97" s="85" t="n"/>
      <c r="M97" s="84" t="inlineStr">
        <is>
          <t>Seguridad eléctrica del motor del ventilador</t>
        </is>
      </c>
      <c r="N97" s="85" t="n"/>
      <c r="O97" s="85" t="n"/>
    </row>
    <row r="98" ht="105" customHeight="1">
      <c r="A98" s="84" t="inlineStr">
        <is>
          <t>NTC 2050 (Colombia)</t>
        </is>
      </c>
      <c r="B98" s="85" t="n"/>
      <c r="C98" s="85" t="n"/>
      <c r="D98" s="85" t="n"/>
      <c r="E98" s="86" t="inlineStr">
        <is>
          <t>vigente</t>
        </is>
      </c>
      <c r="F98" s="85" t="n"/>
      <c r="G98" s="85" t="n"/>
      <c r="H98" s="85" t="n"/>
      <c r="I98" s="86" t="inlineStr">
        <is>
          <t>—</t>
        </is>
      </c>
      <c r="J98" s="85" t="n"/>
      <c r="K98" s="85" t="n"/>
      <c r="L98" s="85" t="n"/>
      <c r="M98" s="84" t="inlineStr">
        <is>
          <t>Circuitos y protecciones eléctricas</t>
        </is>
      </c>
      <c r="N98" s="85" t="n"/>
      <c r="O98" s="85" t="n"/>
    </row>
    <row r="99" ht="135" customHeight="1">
      <c r="A99" s="84" t="inlineStr">
        <is>
          <t>Resolución 0312/2019 MinSalud (Colombia)</t>
        </is>
      </c>
      <c r="B99" s="85" t="n"/>
      <c r="C99" s="85" t="n"/>
      <c r="D99" s="85" t="n"/>
      <c r="E99" s="86" t="inlineStr">
        <is>
          <t>2019</t>
        </is>
      </c>
      <c r="F99" s="85" t="n"/>
      <c r="G99" s="85" t="n"/>
      <c r="H99" s="85" t="n"/>
      <c r="I99" s="86" t="inlineStr">
        <is>
          <t>—</t>
        </is>
      </c>
      <c r="J99" s="85" t="n"/>
      <c r="K99" s="85" t="n"/>
      <c r="L99" s="85" t="n"/>
      <c r="M99" s="84" t="inlineStr">
        <is>
          <t>Habilitación de servicios de salud (si aplica)</t>
        </is>
      </c>
      <c r="N99" s="85" t="n"/>
      <c r="O99" s="85" t="n"/>
    </row>
    <row r="100" ht="15" customHeight="1"/>
    <row r="101" ht="30" customHeight="1">
      <c r="A101" s="82" t="inlineStr">
        <is>
          <t>Conclusión</t>
        </is>
      </c>
    </row>
    <row r="102" ht="375" customHeight="1">
      <c r="A102" s="87" t="inlineStr">
        <is>
          <t>La selección de 12 renovaciones de aire por hora está sustentada por las guías internacionales de bioseguridad (WHO BSL-2/BSL-3, NIH DRM) y los estándares de ventilación de ASHRAE para instalaciones de salud. El marco regulatorio local (RETIE, NTC 2050, Resolución 0312/2019) aplica a la infraestructura y seguridad eléctrica del equipo; no existe norma colombiana que fije un valor de ACH distinto para este caso.</t>
        </is>
      </c>
    </row>
    <row r="103" ht="15" customHeight="1"/>
    <row r="104" ht="15" customHeight="1"/>
    <row r="105" ht="15" customHeight="1"/>
    <row r="106" ht="135" customHeight="1">
      <c r="A106" s="81" t="inlineStr">
        <is>
          <t>6. ESCENARIOS DE FILTRACIÓN Y MOTOR RECOMENDADO</t>
        </is>
      </c>
    </row>
    <row r="107" ht="600" customHeight="1">
      <c r="A107" s="87" t="inlineStr">
        <is>
          <t>ΔP_vent total = ΔP_filtro + ΔP_rejillas (11 Pa). Sin presurización (REV1: cambio de alcance del cliente). El caudal Q_s se toma del paso 4 de la sección 3 (celda J50). Sitio: Cajicá, Cundinamarca (2 558 msnm, ρ = 0.88 kg/m³).</t>
        </is>
      </c>
    </row>
    <row r="108" ht="15" customHeight="1"/>
    <row r="109" ht="75" customHeight="1">
      <c r="A109" s="83" t="inlineStr">
        <is>
          <t>Escenario de filtración</t>
        </is>
      </c>
      <c r="B109" s="83" t="n"/>
      <c r="C109" s="83" t="n"/>
      <c r="D109" s="83" t="inlineStr">
        <is>
          <t>ΔP filtro (Pa)</t>
        </is>
      </c>
      <c r="E109" s="83" t="n"/>
      <c r="F109" s="83" t="n"/>
      <c r="G109" s="83" t="inlineStr">
        <is>
          <t>ΔP vent total (Pa)</t>
        </is>
      </c>
      <c r="H109" s="83" t="n"/>
      <c r="I109" s="83" t="n"/>
      <c r="J109" s="83" t="inlineStr">
        <is>
          <t>P teórica (kW)</t>
        </is>
      </c>
      <c r="K109" s="83" t="n"/>
      <c r="L109" s="83" t="inlineStr">
        <is>
          <t>P teórica (HP)</t>
        </is>
      </c>
      <c r="M109" s="83" t="n"/>
      <c r="N109" s="83" t="inlineStr">
        <is>
          <t>Motor recomendado (HP)</t>
        </is>
      </c>
      <c r="O109" s="83" t="n"/>
    </row>
    <row r="110" ht="75" customHeight="1">
      <c r="A110" s="84" t="inlineStr">
        <is>
          <t>MERV 13-14 limpio</t>
        </is>
      </c>
      <c r="B110" s="85" t="n"/>
      <c r="C110" s="85" t="n"/>
      <c r="D110" s="94" t="n">
        <v>59</v>
      </c>
      <c r="E110" s="95" t="n"/>
      <c r="F110" s="95" t="n"/>
      <c r="G110" s="94">
        <f>D110+11</f>
        <v/>
      </c>
      <c r="H110" s="95" t="n"/>
      <c r="I110" s="95" t="n"/>
      <c r="J110" s="96">
        <f>J50*G110/(0.55*1000)</f>
        <v/>
      </c>
      <c r="K110" s="97" t="n"/>
      <c r="L110" s="96">
        <f>J110*1.341</f>
        <v/>
      </c>
      <c r="M110" s="97" t="n"/>
      <c r="N110" s="94">
        <f>CEILING(L110*1.5,0.25)</f>
        <v/>
      </c>
      <c r="O110" s="95" t="n"/>
    </row>
    <row r="111" ht="75" customHeight="1">
      <c r="A111" s="84" t="inlineStr">
        <is>
          <t>MERV 13-14 cargado (diseño)</t>
        </is>
      </c>
      <c r="B111" s="85" t="n"/>
      <c r="C111" s="85" t="n"/>
      <c r="D111" s="94" t="n">
        <v>154</v>
      </c>
      <c r="E111" s="95" t="n"/>
      <c r="F111" s="95" t="n"/>
      <c r="G111" s="94">
        <f>D111+11</f>
        <v/>
      </c>
      <c r="H111" s="95" t="n"/>
      <c r="I111" s="95" t="n"/>
      <c r="J111" s="96">
        <f>J50*G111/(0.55*1000)</f>
        <v/>
      </c>
      <c r="K111" s="97" t="n"/>
      <c r="L111" s="96">
        <f>J111*1.341</f>
        <v/>
      </c>
      <c r="M111" s="97" t="n"/>
      <c r="N111" s="94">
        <f>CEILING(L111*1.5,0.25)</f>
        <v/>
      </c>
      <c r="O111" s="95" t="n"/>
    </row>
    <row r="112" ht="135" customHeight="1">
      <c r="A112" s="84" t="inlineStr">
        <is>
          <t>HEPA H13 limpio (referencia histórica — no aplica)</t>
        </is>
      </c>
      <c r="B112" s="85" t="n"/>
      <c r="C112" s="85" t="n"/>
      <c r="D112" s="94" t="n">
        <v>250</v>
      </c>
      <c r="E112" s="95" t="n"/>
      <c r="F112" s="95" t="n"/>
      <c r="G112" s="94">
        <f>D112+11</f>
        <v/>
      </c>
      <c r="H112" s="95" t="n"/>
      <c r="I112" s="95" t="n"/>
      <c r="J112" s="96">
        <f>J50*G112/(0.55*1000)</f>
        <v/>
      </c>
      <c r="K112" s="97" t="n"/>
      <c r="L112" s="96">
        <f>J112*1.341</f>
        <v/>
      </c>
      <c r="M112" s="97" t="n"/>
      <c r="N112" s="94">
        <f>CEILING(L112*1.5,0.25)</f>
        <v/>
      </c>
      <c r="O112" s="95" t="n"/>
    </row>
    <row r="113" ht="150" customHeight="1">
      <c r="A113" s="84" t="inlineStr">
        <is>
          <t>HEPA H13 cargado (referencia histórica — no aplica)</t>
        </is>
      </c>
      <c r="B113" s="85" t="n"/>
      <c r="C113" s="85" t="n"/>
      <c r="D113" s="94" t="n">
        <v>600</v>
      </c>
      <c r="E113" s="95" t="n"/>
      <c r="F113" s="95" t="n"/>
      <c r="G113" s="94">
        <f>D113+11</f>
        <v/>
      </c>
      <c r="H113" s="95" t="n"/>
      <c r="I113" s="95" t="n"/>
      <c r="J113" s="96">
        <f>J50*G113/(0.55*1000)</f>
        <v/>
      </c>
      <c r="K113" s="97" t="n"/>
      <c r="L113" s="96">
        <f>J113*1.341</f>
        <v/>
      </c>
      <c r="M113" s="97" t="n"/>
      <c r="N113" s="94">
        <f>CEILING(L113*1.5,0.25)</f>
        <v/>
      </c>
      <c r="O113" s="95" t="n"/>
    </row>
    <row r="114" ht="15" customHeight="1"/>
    <row r="115" ht="15" customHeight="1">
      <c r="A115" s="82" t="inlineStr">
        <is>
          <t>Nota:</t>
        </is>
      </c>
    </row>
    <row r="116" ht="525" customHeight="1">
      <c r="A116" s="87" t="inlineStr">
        <is>
          <t>El motor provisional de 0.75 HP TEFC anticorrosivo corresponde al escenario MERV 13-14 cargado (punto de diseño), con margen de servicio 1.5 sobre la potencia teórica; la potencia definitiva se fija con la curva del ventilador axial seleccionado. Los escenarios HEPA son solo referencia histórica: el laboratorio de análisis industrial NO requiere HEPA. Para selección de ventilador en catálogo (ρ = 1.2 kg/m³), usar el punto equivalente 3 840 m³/h @ 225 Pa (diseño) o 95 Pa (limpio). La potencia se recalcula automáticamente si cambia el caudal en la sección 3. DESARROLLO DE CÁLCULOS.</t>
        </is>
      </c>
    </row>
    <row r="117" ht="15" customHeight="1"/>
    <row r="118" ht="15" customHeight="1"/>
    <row r="119" ht="15" customHeight="1"/>
    <row r="120" ht="120" customHeight="1">
      <c r="A120" s="81" t="inlineStr">
        <is>
          <t>7. VISTA RÁPIDA — RESULTADOS (FÓRMULAS VIVAS)</t>
        </is>
      </c>
    </row>
    <row r="121" ht="15" customHeight="1"/>
    <row r="122" ht="30" customHeight="1">
      <c r="A122" s="83" t="inlineStr">
        <is>
          <t>Parámetro</t>
        </is>
      </c>
      <c r="B122" s="83" t="n"/>
      <c r="C122" s="83" t="n"/>
      <c r="D122" s="83" t="n"/>
      <c r="E122" s="83" t="inlineStr">
        <is>
          <t>Valor</t>
        </is>
      </c>
      <c r="F122" s="83" t="n"/>
      <c r="G122" s="83" t="n"/>
      <c r="H122" s="83" t="n"/>
      <c r="I122" s="83" t="inlineStr">
        <is>
          <t>Unidad</t>
        </is>
      </c>
      <c r="J122" s="83" t="n"/>
      <c r="K122" s="83" t="n"/>
      <c r="L122" s="83" t="n"/>
      <c r="M122" s="83" t="inlineStr">
        <is>
          <t>Observación</t>
        </is>
      </c>
      <c r="N122" s="83" t="n"/>
      <c r="O122" s="83" t="n"/>
    </row>
    <row r="123" ht="90" customHeight="1">
      <c r="A123" s="84" t="inlineStr">
        <is>
          <t>Caudal de diseño</t>
        </is>
      </c>
      <c r="B123" s="85" t="n"/>
      <c r="C123" s="85" t="n"/>
      <c r="D123" s="85" t="n"/>
      <c r="E123" s="92">
        <f>J47</f>
        <v/>
      </c>
      <c r="F123" s="93" t="n"/>
      <c r="G123" s="93" t="n"/>
      <c r="H123" s="93" t="n"/>
      <c r="I123" s="86" t="inlineStr">
        <is>
          <t>m³/min</t>
        </is>
      </c>
      <c r="J123" s="85" t="n"/>
      <c r="K123" s="85" t="n"/>
      <c r="L123" s="85" t="n"/>
      <c r="M123" s="84" t="inlineStr">
        <is>
          <t>Caudal de impulsión requerido</t>
        </is>
      </c>
      <c r="N123" s="85" t="n"/>
      <c r="O123" s="85" t="n"/>
    </row>
    <row r="124" ht="105" customHeight="1">
      <c r="A124" s="84" t="inlineStr">
        <is>
          <t>Caudal de diseño</t>
        </is>
      </c>
      <c r="B124" s="85" t="n"/>
      <c r="C124" s="85" t="n"/>
      <c r="D124" s="85" t="n"/>
      <c r="E124" s="92">
        <f>J48</f>
        <v/>
      </c>
      <c r="F124" s="93" t="n"/>
      <c r="G124" s="93" t="n"/>
      <c r="H124" s="93" t="n"/>
      <c r="I124" s="86" t="inlineStr">
        <is>
          <t>m³/h</t>
        </is>
      </c>
      <c r="J124" s="85" t="n"/>
      <c r="K124" s="85" t="n"/>
      <c r="L124" s="85" t="n"/>
      <c r="M124" s="84" t="inlineStr">
        <is>
          <t>Equivalente en metros cúbicos por hora</t>
        </is>
      </c>
      <c r="N124" s="85" t="n"/>
      <c r="O124" s="85" t="n"/>
    </row>
    <row r="125" ht="105" customHeight="1">
      <c r="A125" s="84" t="inlineStr">
        <is>
          <t>Caudal de diseño</t>
        </is>
      </c>
      <c r="B125" s="85" t="n"/>
      <c r="C125" s="85" t="n"/>
      <c r="D125" s="85" t="n"/>
      <c r="E125" s="92">
        <f>J49</f>
        <v/>
      </c>
      <c r="F125" s="93" t="n"/>
      <c r="G125" s="93" t="n"/>
      <c r="H125" s="93" t="n"/>
      <c r="I125" s="86" t="inlineStr">
        <is>
          <t>CFM</t>
        </is>
      </c>
      <c r="J125" s="85" t="n"/>
      <c r="K125" s="85" t="n"/>
      <c r="L125" s="85" t="n"/>
      <c r="M125" s="84" t="inlineStr">
        <is>
          <t>Equivalente en pies cúbicos por minuto</t>
        </is>
      </c>
      <c r="N125" s="85" t="n"/>
      <c r="O125" s="85" t="n"/>
    </row>
    <row r="126" ht="105" customHeight="1">
      <c r="A126" s="84" t="inlineStr">
        <is>
          <t>Potencia teórica del ventilador</t>
        </is>
      </c>
      <c r="B126" s="85" t="n"/>
      <c r="C126" s="85" t="n"/>
      <c r="D126" s="85" t="n"/>
      <c r="E126" s="92">
        <f>J51</f>
        <v/>
      </c>
      <c r="F126" s="93" t="n"/>
      <c r="G126" s="93" t="n"/>
      <c r="H126" s="93" t="n"/>
      <c r="I126" s="86" t="inlineStr">
        <is>
          <t>kW</t>
        </is>
      </c>
      <c r="J126" s="85" t="n"/>
      <c r="K126" s="85" t="n"/>
      <c r="L126" s="85" t="n"/>
      <c r="M126" s="84" t="inlineStr">
        <is>
          <t>Escenario MERV cargado a 165 Pa (axial)</t>
        </is>
      </c>
      <c r="N126" s="85" t="n"/>
      <c r="O126" s="85" t="n"/>
    </row>
    <row r="127" ht="90" customHeight="1">
      <c r="A127" s="84" t="inlineStr">
        <is>
          <t>Potencia teórica del ventilador</t>
        </is>
      </c>
      <c r="B127" s="85" t="n"/>
      <c r="C127" s="85" t="n"/>
      <c r="D127" s="85" t="n"/>
      <c r="E127" s="92">
        <f>J52</f>
        <v/>
      </c>
      <c r="F127" s="93" t="n"/>
      <c r="G127" s="93" t="n"/>
      <c r="H127" s="93" t="n"/>
      <c r="I127" s="86" t="inlineStr">
        <is>
          <t>HP</t>
        </is>
      </c>
      <c r="J127" s="85" t="n"/>
      <c r="K127" s="85" t="n"/>
      <c r="L127" s="85" t="n"/>
      <c r="M127" s="84" t="inlineStr">
        <is>
          <t>Unidades imperiales</t>
        </is>
      </c>
      <c r="N127" s="85" t="n"/>
      <c r="O127" s="85" t="n"/>
    </row>
    <row r="128" ht="105" customHeight="1">
      <c r="A128" s="84" t="inlineStr">
        <is>
          <t>Potencia instalada recomendada</t>
        </is>
      </c>
      <c r="B128" s="85" t="n"/>
      <c r="C128" s="85" t="n"/>
      <c r="D128" s="85" t="n"/>
      <c r="E128" s="92">
        <f>CEILING(J52*1.5,0.25)</f>
        <v/>
      </c>
      <c r="F128" s="93" t="n"/>
      <c r="G128" s="93" t="n"/>
      <c r="H128" s="93" t="n"/>
      <c r="I128" s="86" t="inlineStr">
        <is>
          <t>HP</t>
        </is>
      </c>
      <c r="J128" s="85" t="n"/>
      <c r="K128" s="85" t="n"/>
      <c r="L128" s="85" t="n"/>
      <c r="M128" s="84" t="inlineStr">
        <is>
          <t>×1.5 margen de servicio (provisional)</t>
        </is>
      </c>
      <c r="N128" s="85" t="n"/>
      <c r="O128" s="85" t="n"/>
    </row>
    <row r="129" ht="90" customHeight="1">
      <c r="A129" s="84" t="inlineStr">
        <is>
          <t>Área de impulsión del ventilador</t>
        </is>
      </c>
      <c r="B129" s="85" t="n"/>
      <c r="C129" s="85" t="n"/>
      <c r="D129" s="85" t="n"/>
      <c r="E129" s="92">
        <f>J53</f>
        <v/>
      </c>
      <c r="F129" s="93" t="n"/>
      <c r="G129" s="93" t="n"/>
      <c r="H129" s="93" t="n"/>
      <c r="I129" s="86" t="inlineStr">
        <is>
          <t>m²</t>
        </is>
      </c>
      <c r="J129" s="85" t="n"/>
      <c r="K129" s="85" t="n"/>
      <c r="L129" s="85" t="n"/>
      <c r="M129" s="84" t="inlineStr">
        <is>
          <t>Boca del ventilador</t>
        </is>
      </c>
      <c r="N129" s="85" t="n"/>
      <c r="O129" s="85" t="n"/>
    </row>
    <row r="130" ht="105" customHeight="1">
      <c r="A130" s="84" t="inlineStr">
        <is>
          <t>Diámetro equivalente del ventilador</t>
        </is>
      </c>
      <c r="B130" s="85" t="n"/>
      <c r="C130" s="85" t="n"/>
      <c r="D130" s="85" t="n"/>
      <c r="E130" s="92">
        <f>J54</f>
        <v/>
      </c>
      <c r="F130" s="93" t="n"/>
      <c r="G130" s="93" t="n"/>
      <c r="H130" s="93" t="n"/>
      <c r="I130" s="86" t="inlineStr">
        <is>
          <t>m</t>
        </is>
      </c>
      <c r="J130" s="85" t="n"/>
      <c r="K130" s="85" t="n"/>
      <c r="L130" s="85" t="n"/>
      <c r="M130" s="84" t="inlineStr">
        <is>
          <t>Para referencia</t>
        </is>
      </c>
      <c r="N130" s="85" t="n"/>
      <c r="O130" s="85" t="n"/>
    </row>
    <row r="131" ht="75" customHeight="1">
      <c r="A131" s="84" t="inlineStr">
        <is>
          <t>Radio del ventilador (CFD)</t>
        </is>
      </c>
      <c r="B131" s="85" t="n"/>
      <c r="C131" s="85" t="n"/>
      <c r="D131" s="85" t="n"/>
      <c r="E131" s="92">
        <f>J56</f>
        <v/>
      </c>
      <c r="F131" s="93" t="n"/>
      <c r="G131" s="93" t="n"/>
      <c r="H131" s="93" t="n"/>
      <c r="I131" s="86" t="inlineStr">
        <is>
          <t>mm</t>
        </is>
      </c>
      <c r="J131" s="85" t="n"/>
      <c r="K131" s="85" t="n"/>
      <c r="L131" s="85" t="n"/>
      <c r="M131" s="84" t="inlineStr">
        <is>
          <t>Círculo de inyección</t>
        </is>
      </c>
      <c r="N131" s="85" t="n"/>
      <c r="O131" s="85" t="n"/>
    </row>
    <row r="132" ht="75" customHeight="1">
      <c r="A132" s="84" t="inlineStr">
        <is>
          <t>Velocidad de impulsión</t>
        </is>
      </c>
      <c r="B132" s="85" t="n"/>
      <c r="C132" s="85" t="n"/>
      <c r="D132" s="85" t="n"/>
      <c r="E132" s="92">
        <f>G32</f>
        <v/>
      </c>
      <c r="F132" s="93" t="n"/>
      <c r="G132" s="93" t="n"/>
      <c r="H132" s="93" t="n"/>
      <c r="I132" s="86" t="inlineStr">
        <is>
          <t>m/s</t>
        </is>
      </c>
      <c r="J132" s="85" t="n"/>
      <c r="K132" s="85" t="n"/>
      <c r="L132" s="85" t="n"/>
      <c r="M132" s="84" t="inlineStr">
        <is>
          <t>Condición de entrada CFD</t>
        </is>
      </c>
      <c r="N132" s="85" t="n"/>
      <c r="O132" s="85" t="n"/>
    </row>
    <row r="133" ht="105" customHeight="1">
      <c r="A133" s="84" t="inlineStr">
        <is>
          <t>Área neta total de rejillas de salida</t>
        </is>
      </c>
      <c r="B133" s="85" t="n"/>
      <c r="C133" s="85" t="n"/>
      <c r="D133" s="85" t="n"/>
      <c r="E133" s="92">
        <f>J57</f>
        <v/>
      </c>
      <c r="F133" s="93" t="n"/>
      <c r="G133" s="93" t="n"/>
      <c r="H133" s="93" t="n"/>
      <c r="I133" s="86" t="inlineStr">
        <is>
          <t>m²</t>
        </is>
      </c>
      <c r="J133" s="85" t="n"/>
      <c r="K133" s="85" t="n"/>
      <c r="L133" s="85" t="n"/>
      <c r="M133" s="84" t="inlineStr">
        <is>
          <t>A v=3 m/s</t>
        </is>
      </c>
      <c r="N133" s="85" t="n"/>
      <c r="O133" s="85" t="n"/>
    </row>
    <row r="134" ht="75" customHeight="1">
      <c r="A134" s="84" t="inlineStr">
        <is>
          <t>Número de rejillas de salida</t>
        </is>
      </c>
      <c r="B134" s="85" t="n"/>
      <c r="C134" s="85" t="n"/>
      <c r="D134" s="85" t="n"/>
      <c r="E134" s="92">
        <f>G34</f>
        <v/>
      </c>
      <c r="F134" s="93" t="n"/>
      <c r="G134" s="93" t="n"/>
      <c r="H134" s="93" t="n"/>
      <c r="I134" s="86" t="inlineStr">
        <is>
          <t>unid.</t>
        </is>
      </c>
      <c r="J134" s="85" t="n"/>
      <c r="K134" s="85" t="n"/>
      <c r="L134" s="85" t="n"/>
      <c r="M134" s="84" t="inlineStr">
        <is>
          <t>Distribución propuesta</t>
        </is>
      </c>
      <c r="N134" s="85" t="n"/>
      <c r="O134" s="85" t="n"/>
    </row>
    <row r="135" ht="90" customHeight="1">
      <c r="A135" s="84" t="inlineStr">
        <is>
          <t>Área neta por rejilla de salida</t>
        </is>
      </c>
      <c r="B135" s="85" t="n"/>
      <c r="C135" s="85" t="n"/>
      <c r="D135" s="85" t="n"/>
      <c r="E135" s="92">
        <f>J58</f>
        <v/>
      </c>
      <c r="F135" s="93" t="n"/>
      <c r="G135" s="93" t="n"/>
      <c r="H135" s="93" t="n"/>
      <c r="I135" s="86" t="inlineStr">
        <is>
          <t>m²</t>
        </is>
      </c>
      <c r="J135" s="85" t="n"/>
      <c r="K135" s="85" t="n"/>
      <c r="L135" s="85" t="n"/>
      <c r="M135" s="84" t="inlineStr">
        <is>
          <t>Cada rejilla</t>
        </is>
      </c>
      <c r="N135" s="85" t="n"/>
      <c r="O135" s="85" t="n"/>
    </row>
    <row r="136" ht="75" customHeight="1">
      <c r="A136" s="84" t="inlineStr">
        <is>
          <t>Altura de rejilla de salida</t>
        </is>
      </c>
      <c r="B136" s="85" t="n"/>
      <c r="C136" s="85" t="n"/>
      <c r="D136" s="85" t="n"/>
      <c r="E136" s="92">
        <f>J61</f>
        <v/>
      </c>
      <c r="F136" s="93" t="n"/>
      <c r="G136" s="93" t="n"/>
      <c r="H136" s="93" t="n"/>
      <c r="I136" s="86" t="inlineStr">
        <is>
          <t>mm</t>
        </is>
      </c>
      <c r="J136" s="85" t="n"/>
      <c r="K136" s="85" t="n"/>
      <c r="L136" s="85" t="n"/>
      <c r="M136" s="84" t="inlineStr">
        <is>
          <t>Dimensiones para CFD</t>
        </is>
      </c>
      <c r="N136" s="85" t="n"/>
      <c r="O136" s="85" t="n"/>
    </row>
    <row r="137" ht="75" customHeight="1">
      <c r="A137" s="84" t="inlineStr">
        <is>
          <t>Ancho de rejilla de salida</t>
        </is>
      </c>
      <c r="B137" s="85" t="n"/>
      <c r="C137" s="85" t="n"/>
      <c r="D137" s="85" t="n"/>
      <c r="E137" s="92">
        <f>J62</f>
        <v/>
      </c>
      <c r="F137" s="93" t="n"/>
      <c r="G137" s="93" t="n"/>
      <c r="H137" s="93" t="n"/>
      <c r="I137" s="86" t="inlineStr">
        <is>
          <t>mm</t>
        </is>
      </c>
      <c r="J137" s="85" t="n"/>
      <c r="K137" s="85" t="n"/>
      <c r="L137" s="85" t="n"/>
      <c r="M137" s="84" t="inlineStr">
        <is>
          <t>Dimensiones para CFD</t>
        </is>
      </c>
      <c r="N137" s="85" t="n"/>
      <c r="O137" s="85" t="n"/>
    </row>
    <row r="138" ht="75" customHeight="1">
      <c r="A138" s="84" t="inlineStr">
        <is>
          <t>Velocidad de exfiltración</t>
        </is>
      </c>
      <c r="B138" s="85" t="n"/>
      <c r="C138" s="85" t="n"/>
      <c r="D138" s="85" t="n"/>
      <c r="E138" s="92">
        <f>G33</f>
        <v/>
      </c>
      <c r="F138" s="93" t="n"/>
      <c r="G138" s="93" t="n"/>
      <c r="H138" s="93" t="n"/>
      <c r="I138" s="86" t="inlineStr">
        <is>
          <t>m/s</t>
        </is>
      </c>
      <c r="J138" s="85" t="n"/>
      <c r="K138" s="85" t="n"/>
      <c r="L138" s="85" t="n"/>
      <c r="M138" s="84" t="inlineStr">
        <is>
          <t>Condición de salida CFD</t>
        </is>
      </c>
      <c r="N138" s="85" t="n"/>
      <c r="O138" s="85" t="n"/>
    </row>
    <row r="139" ht="105" customHeight="1">
      <c r="A139" s="84" t="inlineStr">
        <is>
          <t>Pérdida de presión en rejillas</t>
        </is>
      </c>
      <c r="B139" s="85" t="n"/>
      <c r="C139" s="85" t="n"/>
      <c r="D139" s="85" t="n"/>
      <c r="E139" s="92">
        <f>J63</f>
        <v/>
      </c>
      <c r="F139" s="93" t="n"/>
      <c r="G139" s="93" t="n"/>
      <c r="H139" s="93" t="n"/>
      <c r="I139" s="86" t="inlineStr">
        <is>
          <t>Pa</t>
        </is>
      </c>
      <c r="J139" s="85" t="n"/>
      <c r="K139" s="85" t="n"/>
      <c r="L139" s="85" t="n"/>
      <c r="M139" s="84" t="inlineStr">
        <is>
          <t>Descarga libre a atmósfera, Cd=0.6</t>
        </is>
      </c>
      <c r="N139" s="85" t="n"/>
      <c r="O139" s="85" t="n"/>
    </row>
    <row r="140" ht="15" customHeight="1"/>
    <row r="141" ht="15" customHeight="1">
      <c r="A141" s="82" t="inlineStr">
        <is>
          <t>Nota:</t>
        </is>
      </c>
    </row>
    <row r="142" ht="210" customHeight="1">
      <c r="A142" s="87" t="inlineStr">
        <is>
          <t>Sección con fórmulas vivas que referencian las secciones 3. DESARROLLO DE CÁLCULOS y 2. PARÁMETROS DE ENTRADA de esta misma hoja. Si modifica las entradas, esta vista y la sección 4. RESULTADOS se actualizan automáticamente.</t>
        </is>
      </c>
    </row>
    <row r="143" ht="15" customHeight="1"/>
    <row r="144" ht="15" customHeight="1"/>
  </sheetData>
  <mergeCells count="445">
    <mergeCell ref="A25:O25"/>
    <mergeCell ref="G112:I112"/>
    <mergeCell ref="N113:O113"/>
    <mergeCell ref="G62:I62"/>
    <mergeCell ref="A134:D134"/>
    <mergeCell ref="J59:K59"/>
    <mergeCell ref="D53:F53"/>
    <mergeCell ref="M81:O81"/>
    <mergeCell ref="D47:F47"/>
    <mergeCell ref="A57:C57"/>
    <mergeCell ref="A113:C113"/>
    <mergeCell ref="A73:D73"/>
    <mergeCell ref="M76:O76"/>
    <mergeCell ref="A52:C52"/>
    <mergeCell ref="E88:H88"/>
    <mergeCell ref="A124:D124"/>
    <mergeCell ref="E82:H82"/>
    <mergeCell ref="A34:C34"/>
    <mergeCell ref="A40:O40"/>
    <mergeCell ref="E128:H128"/>
    <mergeCell ref="G36:I36"/>
    <mergeCell ref="A49:C49"/>
    <mergeCell ref="A107:O107"/>
    <mergeCell ref="A110:C110"/>
    <mergeCell ref="J62:K62"/>
    <mergeCell ref="A17:D17"/>
    <mergeCell ref="M94:O94"/>
    <mergeCell ref="I123:L123"/>
    <mergeCell ref="A126:D126"/>
    <mergeCell ref="M31:O31"/>
    <mergeCell ref="J57:K57"/>
    <mergeCell ref="L57:M57"/>
    <mergeCell ref="A55:C55"/>
    <mergeCell ref="E75:H75"/>
    <mergeCell ref="M95:O95"/>
    <mergeCell ref="M89:O89"/>
    <mergeCell ref="E12:H12"/>
    <mergeCell ref="A141:O141"/>
    <mergeCell ref="A29:C29"/>
    <mergeCell ref="M97:O97"/>
    <mergeCell ref="G51:I51"/>
    <mergeCell ref="N52:O52"/>
    <mergeCell ref="D55:F55"/>
    <mergeCell ref="E14:H14"/>
    <mergeCell ref="M72:O72"/>
    <mergeCell ref="A79:D79"/>
    <mergeCell ref="I70:L70"/>
    <mergeCell ref="A31:C31"/>
    <mergeCell ref="A58:C58"/>
    <mergeCell ref="A102:O104"/>
    <mergeCell ref="I134:L134"/>
    <mergeCell ref="A137:D137"/>
    <mergeCell ref="A60:C60"/>
    <mergeCell ref="I96:L96"/>
    <mergeCell ref="I71:L71"/>
    <mergeCell ref="A74:D74"/>
    <mergeCell ref="A139:D139"/>
    <mergeCell ref="E90:H90"/>
    <mergeCell ref="I98:L98"/>
    <mergeCell ref="A76:D76"/>
    <mergeCell ref="A41:O41"/>
    <mergeCell ref="A50:C50"/>
    <mergeCell ref="L47:M47"/>
    <mergeCell ref="G58:I58"/>
    <mergeCell ref="A92:D92"/>
    <mergeCell ref="G110:I110"/>
    <mergeCell ref="I124:L124"/>
    <mergeCell ref="D51:F51"/>
    <mergeCell ref="A94:D94"/>
    <mergeCell ref="M32:O32"/>
    <mergeCell ref="L58:M58"/>
    <mergeCell ref="A69:D69"/>
    <mergeCell ref="I126:L126"/>
    <mergeCell ref="L50:M50"/>
    <mergeCell ref="M96:O96"/>
    <mergeCell ref="A9:O9"/>
    <mergeCell ref="A133:D133"/>
    <mergeCell ref="L60:M60"/>
    <mergeCell ref="E13:H13"/>
    <mergeCell ref="N60:O60"/>
    <mergeCell ref="E84:H84"/>
    <mergeCell ref="E78:H78"/>
    <mergeCell ref="L52:M52"/>
    <mergeCell ref="A89:D89"/>
    <mergeCell ref="M98:O98"/>
    <mergeCell ref="A11:O11"/>
    <mergeCell ref="E15:H15"/>
    <mergeCell ref="E80:H80"/>
    <mergeCell ref="A65:O65"/>
    <mergeCell ref="N109:O109"/>
    <mergeCell ref="I79:L79"/>
    <mergeCell ref="N47:O47"/>
    <mergeCell ref="I73:L73"/>
    <mergeCell ref="J112:K112"/>
    <mergeCell ref="M16:O16"/>
    <mergeCell ref="E81:H81"/>
    <mergeCell ref="I137:L137"/>
    <mergeCell ref="A67:D67"/>
    <mergeCell ref="M27:O27"/>
    <mergeCell ref="M18:O18"/>
    <mergeCell ref="A82:D82"/>
    <mergeCell ref="I139:L139"/>
    <mergeCell ref="A21:O23"/>
    <mergeCell ref="M91:O91"/>
    <mergeCell ref="J55:K55"/>
    <mergeCell ref="L55:M55"/>
    <mergeCell ref="G60:I60"/>
    <mergeCell ref="M93:O93"/>
    <mergeCell ref="I92:L92"/>
    <mergeCell ref="A95:D95"/>
    <mergeCell ref="I67:L67"/>
    <mergeCell ref="A122:D122"/>
    <mergeCell ref="A97:D97"/>
    <mergeCell ref="A46:C46"/>
    <mergeCell ref="A72:D72"/>
    <mergeCell ref="L53:M53"/>
    <mergeCell ref="M12:O12"/>
    <mergeCell ref="N53:O53"/>
    <mergeCell ref="E125:H125"/>
    <mergeCell ref="N3:O3"/>
    <mergeCell ref="D37:F37"/>
    <mergeCell ref="N46:O46"/>
    <mergeCell ref="I81:L81"/>
    <mergeCell ref="E129:H129"/>
    <mergeCell ref="N61:O61"/>
    <mergeCell ref="N5:O5"/>
    <mergeCell ref="A106:O106"/>
    <mergeCell ref="N48:O48"/>
    <mergeCell ref="E131:H131"/>
    <mergeCell ref="I16:L16"/>
    <mergeCell ref="I76:L76"/>
    <mergeCell ref="A16:D16"/>
    <mergeCell ref="M130:O130"/>
    <mergeCell ref="J29:L29"/>
    <mergeCell ref="M68:O68"/>
    <mergeCell ref="I18:L18"/>
    <mergeCell ref="M67:O67"/>
    <mergeCell ref="E99:H99"/>
    <mergeCell ref="M132:O132"/>
    <mergeCell ref="J110:K110"/>
    <mergeCell ref="L110:M110"/>
    <mergeCell ref="M69:O69"/>
    <mergeCell ref="D27:F27"/>
    <mergeCell ref="G28:I28"/>
    <mergeCell ref="N51:O51"/>
    <mergeCell ref="E136:H136"/>
    <mergeCell ref="G30:I30"/>
    <mergeCell ref="I94:L94"/>
    <mergeCell ref="A101:O101"/>
    <mergeCell ref="M37:O37"/>
    <mergeCell ref="A32:C32"/>
    <mergeCell ref="J49:K49"/>
    <mergeCell ref="I77:L77"/>
    <mergeCell ref="I133:L133"/>
    <mergeCell ref="I95:L95"/>
    <mergeCell ref="A98:D98"/>
    <mergeCell ref="I89:L89"/>
    <mergeCell ref="M14:O14"/>
    <mergeCell ref="E127:H127"/>
    <mergeCell ref="G54:I54"/>
    <mergeCell ref="A20:O20"/>
    <mergeCell ref="I135:L135"/>
    <mergeCell ref="M122:O122"/>
    <mergeCell ref="G56:I56"/>
    <mergeCell ref="I72:L72"/>
    <mergeCell ref="D109:F109"/>
    <mergeCell ref="N6:O6"/>
    <mergeCell ref="J37:L37"/>
    <mergeCell ref="D46:F46"/>
    <mergeCell ref="D111:F111"/>
    <mergeCell ref="N4:O4"/>
    <mergeCell ref="M138:O138"/>
    <mergeCell ref="I17:L17"/>
    <mergeCell ref="I88:L88"/>
    <mergeCell ref="A91:D91"/>
    <mergeCell ref="E124:H124"/>
    <mergeCell ref="I82:L82"/>
    <mergeCell ref="G34:I34"/>
    <mergeCell ref="A93:D93"/>
    <mergeCell ref="A68:D68"/>
    <mergeCell ref="M77:O77"/>
    <mergeCell ref="M133:O133"/>
    <mergeCell ref="J32:L32"/>
    <mergeCell ref="M33:O33"/>
    <mergeCell ref="A47:C47"/>
    <mergeCell ref="G113:I113"/>
    <mergeCell ref="M135:O135"/>
    <mergeCell ref="G29:I29"/>
    <mergeCell ref="D33:F33"/>
    <mergeCell ref="E123:H123"/>
    <mergeCell ref="A115:O115"/>
    <mergeCell ref="G31:I31"/>
    <mergeCell ref="D35:F35"/>
    <mergeCell ref="D59:F59"/>
    <mergeCell ref="J113:K113"/>
    <mergeCell ref="L113:M113"/>
    <mergeCell ref="D34:F34"/>
    <mergeCell ref="A39:O39"/>
    <mergeCell ref="I97:L97"/>
    <mergeCell ref="J50:K50"/>
    <mergeCell ref="A12:D12"/>
    <mergeCell ref="D36:F36"/>
    <mergeCell ref="M88:O88"/>
    <mergeCell ref="J52:K52"/>
    <mergeCell ref="M82:O82"/>
    <mergeCell ref="A14:D14"/>
    <mergeCell ref="E70:H70"/>
    <mergeCell ref="G57:I57"/>
    <mergeCell ref="D61:F61"/>
    <mergeCell ref="M90:O90"/>
    <mergeCell ref="D48:F48"/>
    <mergeCell ref="G49:I49"/>
    <mergeCell ref="E134:H134"/>
    <mergeCell ref="D112:F112"/>
    <mergeCell ref="D62:F62"/>
    <mergeCell ref="A130:D130"/>
    <mergeCell ref="D56:F56"/>
    <mergeCell ref="A53:C53"/>
    <mergeCell ref="A109:C109"/>
    <mergeCell ref="N1:O1"/>
    <mergeCell ref="A138:D138"/>
    <mergeCell ref="A132:D132"/>
    <mergeCell ref="E83:H83"/>
    <mergeCell ref="A111:C111"/>
    <mergeCell ref="J63:K63"/>
    <mergeCell ref="I91:L91"/>
    <mergeCell ref="L63:M63"/>
    <mergeCell ref="M34:O34"/>
    <mergeCell ref="A48:C48"/>
    <mergeCell ref="J47:K47"/>
    <mergeCell ref="M83:O83"/>
    <mergeCell ref="J109:K109"/>
    <mergeCell ref="I93:L93"/>
    <mergeCell ref="M78:O78"/>
    <mergeCell ref="D49:F49"/>
    <mergeCell ref="A37:C37"/>
    <mergeCell ref="J35:L35"/>
    <mergeCell ref="A13:D13"/>
    <mergeCell ref="J60:K60"/>
    <mergeCell ref="J53:K53"/>
    <mergeCell ref="A15:D15"/>
    <mergeCell ref="E71:H71"/>
    <mergeCell ref="G63:I63"/>
    <mergeCell ref="G50:I50"/>
    <mergeCell ref="A63:C63"/>
    <mergeCell ref="N111:O111"/>
    <mergeCell ref="E79:H79"/>
    <mergeCell ref="L109:M109"/>
    <mergeCell ref="E73:H73"/>
    <mergeCell ref="M131:O131"/>
    <mergeCell ref="A44:O44"/>
    <mergeCell ref="G52:I52"/>
    <mergeCell ref="E137:H137"/>
    <mergeCell ref="E74:H74"/>
    <mergeCell ref="I130:L130"/>
    <mergeCell ref="I68:L68"/>
    <mergeCell ref="J58:K58"/>
    <mergeCell ref="B1:B5"/>
    <mergeCell ref="D57:F57"/>
    <mergeCell ref="I132:L132"/>
    <mergeCell ref="A135:D135"/>
    <mergeCell ref="M84:O84"/>
    <mergeCell ref="M75:O75"/>
    <mergeCell ref="M15:O15"/>
    <mergeCell ref="M80:O80"/>
    <mergeCell ref="A86:O86"/>
    <mergeCell ref="A42:O42"/>
    <mergeCell ref="G55:I55"/>
    <mergeCell ref="A116:O118"/>
    <mergeCell ref="E67:H67"/>
    <mergeCell ref="A88:D88"/>
    <mergeCell ref="D110:F110"/>
    <mergeCell ref="D60:F60"/>
    <mergeCell ref="I125:L125"/>
    <mergeCell ref="A128:D128"/>
    <mergeCell ref="A90:D90"/>
    <mergeCell ref="A51:C51"/>
    <mergeCell ref="L59:M59"/>
    <mergeCell ref="I122:L122"/>
    <mergeCell ref="A136:D136"/>
    <mergeCell ref="J46:K46"/>
    <mergeCell ref="I127:L127"/>
    <mergeCell ref="L46:M46"/>
    <mergeCell ref="L111:M111"/>
    <mergeCell ref="A142:O144"/>
    <mergeCell ref="M70:O70"/>
    <mergeCell ref="A129:D129"/>
    <mergeCell ref="M35:O35"/>
    <mergeCell ref="J61:K61"/>
    <mergeCell ref="L61:M61"/>
    <mergeCell ref="J48:K48"/>
    <mergeCell ref="L48:M48"/>
    <mergeCell ref="M99:O99"/>
    <mergeCell ref="A131:D131"/>
    <mergeCell ref="G53:I53"/>
    <mergeCell ref="N54:O54"/>
    <mergeCell ref="E16:H16"/>
    <mergeCell ref="L112:M112"/>
    <mergeCell ref="E76:H76"/>
    <mergeCell ref="N112:O112"/>
    <mergeCell ref="I138:L138"/>
    <mergeCell ref="M30:O30"/>
    <mergeCell ref="N56:O56"/>
    <mergeCell ref="E18:H18"/>
    <mergeCell ref="I69:L69"/>
    <mergeCell ref="A83:D83"/>
    <mergeCell ref="D58:F58"/>
    <mergeCell ref="A62:C62"/>
    <mergeCell ref="A28:C28"/>
    <mergeCell ref="E92:H92"/>
    <mergeCell ref="M125:O125"/>
    <mergeCell ref="A78:D78"/>
    <mergeCell ref="A30:C30"/>
    <mergeCell ref="N59:O59"/>
    <mergeCell ref="A59:C59"/>
    <mergeCell ref="E94:H94"/>
    <mergeCell ref="M127:O127"/>
    <mergeCell ref="A1:A5"/>
    <mergeCell ref="A80:D80"/>
    <mergeCell ref="A61:C61"/>
    <mergeCell ref="E95:H95"/>
    <mergeCell ref="E89:H89"/>
    <mergeCell ref="A54:C54"/>
    <mergeCell ref="M13:O13"/>
    <mergeCell ref="A27:C27"/>
    <mergeCell ref="A56:C56"/>
    <mergeCell ref="N110:O110"/>
    <mergeCell ref="E72:H72"/>
    <mergeCell ref="I128:L128"/>
    <mergeCell ref="M36:O36"/>
    <mergeCell ref="L62:M62"/>
    <mergeCell ref="N62:O62"/>
    <mergeCell ref="E17:H17"/>
    <mergeCell ref="E126:H126"/>
    <mergeCell ref="L51:M51"/>
    <mergeCell ref="N57:O57"/>
    <mergeCell ref="A84:D84"/>
    <mergeCell ref="I75:L75"/>
    <mergeCell ref="A75:D75"/>
    <mergeCell ref="A36:C36"/>
    <mergeCell ref="I12:L12"/>
    <mergeCell ref="I14:L14"/>
    <mergeCell ref="M128:O128"/>
    <mergeCell ref="J27:L27"/>
    <mergeCell ref="I78:L78"/>
    <mergeCell ref="A81:D81"/>
    <mergeCell ref="A120:O120"/>
    <mergeCell ref="E97:H97"/>
    <mergeCell ref="D28:F28"/>
    <mergeCell ref="E96:H96"/>
    <mergeCell ref="E139:H139"/>
    <mergeCell ref="I90:L90"/>
    <mergeCell ref="D30:F30"/>
    <mergeCell ref="C2:L3"/>
    <mergeCell ref="I136:L136"/>
    <mergeCell ref="E98:H98"/>
    <mergeCell ref="A70:D70"/>
    <mergeCell ref="D29:F29"/>
    <mergeCell ref="I129:L129"/>
    <mergeCell ref="A99:D99"/>
    <mergeCell ref="I131:L131"/>
    <mergeCell ref="M123:O123"/>
    <mergeCell ref="I83:L83"/>
    <mergeCell ref="G37:I37"/>
    <mergeCell ref="N63:O63"/>
    <mergeCell ref="E91:H91"/>
    <mergeCell ref="N50:O50"/>
    <mergeCell ref="A125:D125"/>
    <mergeCell ref="M28:O28"/>
    <mergeCell ref="I13:L13"/>
    <mergeCell ref="E93:H93"/>
    <mergeCell ref="I84:L84"/>
    <mergeCell ref="A127:D127"/>
    <mergeCell ref="N2:O2"/>
    <mergeCell ref="M136:O136"/>
    <mergeCell ref="I15:L15"/>
    <mergeCell ref="E122:H122"/>
    <mergeCell ref="I80:L80"/>
    <mergeCell ref="M29:O29"/>
    <mergeCell ref="M134:O134"/>
    <mergeCell ref="G32:I32"/>
    <mergeCell ref="J33:L33"/>
    <mergeCell ref="D54:F54"/>
    <mergeCell ref="M71:O71"/>
    <mergeCell ref="G27:I27"/>
    <mergeCell ref="J28:L28"/>
    <mergeCell ref="D31:F31"/>
    <mergeCell ref="J51:K51"/>
    <mergeCell ref="A71:D71"/>
    <mergeCell ref="J30:L30"/>
    <mergeCell ref="N55:O55"/>
    <mergeCell ref="J111:K111"/>
    <mergeCell ref="D32:F32"/>
    <mergeCell ref="I99:L99"/>
    <mergeCell ref="M124:O124"/>
    <mergeCell ref="I74:L74"/>
    <mergeCell ref="A77:D77"/>
    <mergeCell ref="M17:O17"/>
    <mergeCell ref="N58:O58"/>
    <mergeCell ref="E68:H68"/>
    <mergeCell ref="M126:O126"/>
    <mergeCell ref="E130:H130"/>
    <mergeCell ref="G109:I109"/>
    <mergeCell ref="G47:I47"/>
    <mergeCell ref="A112:C112"/>
    <mergeCell ref="D113:F113"/>
    <mergeCell ref="E135:H135"/>
    <mergeCell ref="E132:H132"/>
    <mergeCell ref="G46:I46"/>
    <mergeCell ref="D50:F50"/>
    <mergeCell ref="G111:I111"/>
    <mergeCell ref="C1:L1"/>
    <mergeCell ref="M129:O129"/>
    <mergeCell ref="M79:O79"/>
    <mergeCell ref="J34:L34"/>
    <mergeCell ref="M73:O73"/>
    <mergeCell ref="M137:O137"/>
    <mergeCell ref="J36:L36"/>
    <mergeCell ref="A96:D96"/>
    <mergeCell ref="M74:O74"/>
    <mergeCell ref="M139:O139"/>
    <mergeCell ref="G33:I33"/>
    <mergeCell ref="A33:C33"/>
    <mergeCell ref="J31:L31"/>
    <mergeCell ref="G35:I35"/>
    <mergeCell ref="A35:C35"/>
    <mergeCell ref="A123:D123"/>
    <mergeCell ref="J54:K54"/>
    <mergeCell ref="L54:M54"/>
    <mergeCell ref="E138:H138"/>
    <mergeCell ref="G59:I59"/>
    <mergeCell ref="D63:F63"/>
    <mergeCell ref="M92:O92"/>
    <mergeCell ref="J56:K56"/>
    <mergeCell ref="L56:M56"/>
    <mergeCell ref="A18:D18"/>
    <mergeCell ref="E69:H69"/>
    <mergeCell ref="C4:L6"/>
    <mergeCell ref="G61:I61"/>
    <mergeCell ref="L49:M49"/>
    <mergeCell ref="G48:I48"/>
    <mergeCell ref="N49:O49"/>
    <mergeCell ref="D52:F52"/>
    <mergeCell ref="E77:H77"/>
    <mergeCell ref="E133:H1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2026-07-27T19:36:56Z</dcterms:modified>
  <cp:lastModifiedBy>JAG DESIGN</cp:lastModifiedBy>
  <cp:lastPrinted>2026-07-23T18:36:47Z</cp:lastPrinted>
</cp:coreProperties>
</file>