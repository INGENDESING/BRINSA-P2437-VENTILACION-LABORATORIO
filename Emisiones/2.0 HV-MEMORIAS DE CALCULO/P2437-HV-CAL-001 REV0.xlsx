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2e90018362cd82/Escritorio/HVAC/Calculos/Emisiones/2.0 HV-MEMORIAS DE CALCULO/"/>
    </mc:Choice>
  </mc:AlternateContent>
  <xr:revisionPtr revIDLastSave="81" documentId="6_{22DE063D-21CE-4435-B5C2-14908AA56CA6}" xr6:coauthVersionLast="47" xr6:coauthVersionMax="47" xr10:uidLastSave="{003B4B41-34CF-4694-A678-BA8FBB8A411C}"/>
  <bookViews>
    <workbookView xWindow="-103" yWindow="-103" windowWidth="33120" windowHeight="18000" xr2:uid="{00000000-000D-0000-FFFF-FFFF00000000}"/>
  </bookViews>
  <sheets>
    <sheet name="PORTADA" sheetId="1" r:id="rId1"/>
    <sheet name="MEMORIA DE CÁLCULO" sheetId="2" r:id="rId2"/>
  </sheets>
  <definedNames>
    <definedName name="_xlnm.Print_Area" localSheetId="1">'MEMORIA DE CÁLCULO'!$A$8:$F$147</definedName>
    <definedName name="_xlnm.Print_Area" localSheetId="0">PORTADA!$A$1:$BZ$66</definedName>
    <definedName name="_xlnm.Print_Titles" localSheetId="1">'MEMORIA DE CÁLCULO'!$1:$7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1" i="2" l="1"/>
  <c r="B137" i="2"/>
  <c r="B135" i="2"/>
  <c r="B126" i="2"/>
  <c r="C116" i="2"/>
  <c r="C115" i="2"/>
  <c r="C114" i="2"/>
  <c r="C113" i="2"/>
  <c r="B85" i="2"/>
  <c r="B81" i="2"/>
  <c r="B79" i="2"/>
  <c r="D48" i="2"/>
  <c r="B70" i="2" s="1"/>
  <c r="E6" i="2"/>
  <c r="B6" i="2"/>
  <c r="E5" i="2"/>
  <c r="E4" i="2"/>
  <c r="C4" i="2"/>
  <c r="E3" i="2"/>
  <c r="E2" i="2"/>
  <c r="C2" i="2"/>
  <c r="E1" i="2"/>
  <c r="C1" i="2"/>
  <c r="BD42" i="1"/>
  <c r="AP42" i="1"/>
  <c r="AT27" i="1"/>
  <c r="AW42" i="1" s="1"/>
  <c r="AF27" i="1"/>
  <c r="R27" i="1"/>
  <c r="F48" i="2" l="1"/>
  <c r="D49" i="2"/>
  <c r="D51" i="2"/>
  <c r="D50" i="2"/>
  <c r="F50" i="2" l="1"/>
  <c r="B128" i="2"/>
  <c r="B72" i="2"/>
  <c r="D52" i="2"/>
  <c r="D54" i="2"/>
  <c r="F51" i="2"/>
  <c r="D58" i="2"/>
  <c r="D64" i="2" s="1"/>
  <c r="D114" i="2"/>
  <c r="E114" i="2" s="1"/>
  <c r="F114" i="2" s="1"/>
  <c r="D65" i="2"/>
  <c r="F65" i="2" s="1"/>
  <c r="D115" i="2"/>
  <c r="E115" i="2" s="1"/>
  <c r="F115" i="2" s="1"/>
  <c r="D113" i="2"/>
  <c r="E113" i="2" s="1"/>
  <c r="F113" i="2" s="1"/>
  <c r="D116" i="2"/>
  <c r="E116" i="2" s="1"/>
  <c r="F116" i="2" s="1"/>
  <c r="B71" i="2"/>
  <c r="B127" i="2"/>
  <c r="F49" i="2"/>
  <c r="F52" i="2" l="1"/>
  <c r="B73" i="2"/>
  <c r="D53" i="2"/>
  <c r="B129" i="2"/>
  <c r="B142" i="2"/>
  <c r="B86" i="2"/>
  <c r="F64" i="2"/>
  <c r="D59" i="2"/>
  <c r="F58" i="2"/>
  <c r="B80" i="2"/>
  <c r="B136" i="2"/>
  <c r="F54" i="2"/>
  <c r="B76" i="2"/>
  <c r="D55" i="2"/>
  <c r="B132" i="2"/>
  <c r="B77" i="2" l="1"/>
  <c r="D56" i="2"/>
  <c r="B133" i="2"/>
  <c r="F55" i="2"/>
  <c r="F59" i="2"/>
  <c r="B138" i="2"/>
  <c r="D60" i="2"/>
  <c r="B82" i="2"/>
  <c r="B74" i="2"/>
  <c r="F53" i="2"/>
  <c r="B131" i="2"/>
  <c r="B130" i="2"/>
  <c r="B75" i="2"/>
  <c r="D62" i="2" l="1"/>
  <c r="F60" i="2"/>
  <c r="D57" i="2"/>
  <c r="F56" i="2"/>
  <c r="D61" i="2"/>
  <c r="B139" i="2" l="1"/>
  <c r="F62" i="2"/>
  <c r="B83" i="2"/>
  <c r="D63" i="2"/>
  <c r="F61" i="2"/>
  <c r="F57" i="2"/>
  <c r="B134" i="2"/>
  <c r="B78" i="2"/>
  <c r="B140" i="2" l="1"/>
  <c r="F63" i="2"/>
  <c r="B84" i="2"/>
</calcChain>
</file>

<file path=xl/sharedStrings.xml><?xml version="1.0" encoding="utf-8"?>
<sst xmlns="http://schemas.openxmlformats.org/spreadsheetml/2006/main" count="391" uniqueCount="261">
  <si>
    <t>DISEÑO DE INGENIERÍA</t>
  </si>
  <si>
    <t>CODIGO:</t>
  </si>
  <si>
    <t>P2437-HV-CAL-001</t>
  </si>
  <si>
    <t>REVIZADO</t>
  </si>
  <si>
    <t>JULIO 23 DEL 2026</t>
  </si>
  <si>
    <t>REVISION:</t>
  </si>
  <si>
    <t>CERO (0)</t>
  </si>
  <si>
    <t>APROBADO</t>
  </si>
  <si>
    <t>JULIO 24 DEL 2026</t>
  </si>
  <si>
    <t>SISTEMA HVAC LABORATORIO BRINSA</t>
  </si>
  <si>
    <t>FECHA:</t>
  </si>
  <si>
    <t>ELABORO:</t>
  </si>
  <si>
    <t>J.ARBOLEDA</t>
  </si>
  <si>
    <t>MEMORIA DE CÁLCULO DEL SISTEMA DE VENTILACIÓN Y PRESURIZACIÓN DEL LABORATORIO</t>
  </si>
  <si>
    <t>REVISO:</t>
  </si>
  <si>
    <t>F.NAVIA</t>
  </si>
  <si>
    <t>PROYECTO</t>
  </si>
  <si>
    <t>P2437</t>
  </si>
  <si>
    <t>APROBO:</t>
  </si>
  <si>
    <t>H.ROSERO</t>
  </si>
  <si>
    <t>Elaborado por:</t>
  </si>
  <si>
    <t>Revisado por:</t>
  </si>
  <si>
    <t>Aprobado por:</t>
  </si>
  <si>
    <t>Versión</t>
  </si>
  <si>
    <t>Autor</t>
  </si>
  <si>
    <t>Descripción</t>
  </si>
  <si>
    <t>Fecha de elaboración</t>
  </si>
  <si>
    <t>Fecha de revisión</t>
  </si>
  <si>
    <t>Revisado por</t>
  </si>
  <si>
    <t>Emitido para cotizacion</t>
  </si>
  <si>
    <t xml:space="preserve">REVISO:      </t>
  </si>
  <si>
    <t>PROYECTO:</t>
  </si>
  <si>
    <t>1. DATOS GENERALES — MEMORIA DE CÁLCULO, SISTEMA DE VENTILACIÓN Y PRESURIZACIÓN</t>
  </si>
  <si>
    <t>Información del proyecto</t>
  </si>
  <si>
    <t>Concepto</t>
  </si>
  <si>
    <t>Valor</t>
  </si>
  <si>
    <t>Unidad</t>
  </si>
  <si>
    <t>Observación</t>
  </si>
  <si>
    <t>Nombre del proyecto</t>
  </si>
  <si>
    <t>Laboratorio Brinsa</t>
  </si>
  <si>
    <t>-</t>
  </si>
  <si>
    <t>Ventilación por impulsión con presión positiva</t>
  </si>
  <si>
    <t>Ubicación</t>
  </si>
  <si>
    <t>C:\Users\ingen\OneDrive\Escritorio\HVAC\Calculos</t>
  </si>
  <si>
    <t>Carpeta de cálculos del proyecto</t>
  </si>
  <si>
    <t>Volumen efectivo del laboratorio (V)</t>
  </si>
  <si>
    <t>320</t>
  </si>
  <si>
    <t>m³</t>
  </si>
  <si>
    <t>Medición / modelo 3D</t>
  </si>
  <si>
    <t>Renovaciones de aire (N)</t>
  </si>
  <si>
    <t>12</t>
  </si>
  <si>
    <t>ren/h</t>
  </si>
  <si>
    <t>Sustentado normativamente</t>
  </si>
  <si>
    <t>Objetivo</t>
  </si>
  <si>
    <t>Presurización positiva</t>
  </si>
  <si>
    <t>Evitar ingreso de contaminantes</t>
  </si>
  <si>
    <t>Estrategia</t>
  </si>
  <si>
    <t>Ventilador directo + rejillas de exfiltración</t>
  </si>
  <si>
    <t>Sin ductos de impulsión</t>
  </si>
  <si>
    <t>Objetivo del documento</t>
  </si>
  <si>
    <t>Presentar de forma atómica, funcional y verificable el cálculo del caudal de aire, potencia del ventilador, área de impulsión del ventilador (sin ductos), área/dimensiones de las rejillas de exfiltración para modelado CFD, y el cierre presión–caudal que sustenta la presurización, con sustentación normativa.</t>
  </si>
  <si>
    <t>2. PARÁMETROS DE ENTRADA</t>
  </si>
  <si>
    <t>Parámetro</t>
  </si>
  <si>
    <t>Símbolo</t>
  </si>
  <si>
    <t>Referencia / Nota</t>
  </si>
  <si>
    <t>Volumen efectivo del laboratorio</t>
  </si>
  <si>
    <t>V</t>
  </si>
  <si>
    <t>Medición directa o del modelo</t>
  </si>
  <si>
    <t>Renovaciones de aire</t>
  </si>
  <si>
    <t>N</t>
  </si>
  <si>
    <t>Ver sección 5. NORMATIVA</t>
  </si>
  <si>
    <t>Presión total estimada del ventilador</t>
  </si>
  <si>
    <t>ΔP</t>
  </si>
  <si>
    <t>Pa</t>
  </si>
  <si>
    <t>Escenario MERV cargado (ver sección 6. ESCENARIOS DE FILTRACIÓN)</t>
  </si>
  <si>
    <t>Eficiencia total del ventilador</t>
  </si>
  <si>
    <t>η</t>
  </si>
  <si>
    <t>Centrífugo/axial típico</t>
  </si>
  <si>
    <t>Velocidad en boca del ventilador</t>
  </si>
  <si>
    <t>v_vent</t>
  </si>
  <si>
    <t>m/s</t>
  </si>
  <si>
    <t>Para CFD, rango 6–12 m/s</t>
  </si>
  <si>
    <t>Velocidad de exfiltración en rejillas</t>
  </si>
  <si>
    <t>v_sal</t>
  </si>
  <si>
    <t>Rango recomendado 2.5–4.0 m/s</t>
  </si>
  <si>
    <t>Número de rejillas de salida</t>
  </si>
  <si>
    <t>n_rej</t>
  </si>
  <si>
    <t>unid.</t>
  </si>
  <si>
    <t>Distribución propuesta</t>
  </si>
  <si>
    <t>Proporción ancho/alto rejilla</t>
  </si>
  <si>
    <t>prop</t>
  </si>
  <si>
    <t>353 mm × 336 mm ≈ 0.95</t>
  </si>
  <si>
    <t>Densidad del aire</t>
  </si>
  <si>
    <t>rho</t>
  </si>
  <si>
    <t>kg/m³</t>
  </si>
  <si>
    <t>Bases de diseño (Cajicá, 2 558 msnm, P_atm = 74.1 kPa, aire 20 °C)</t>
  </si>
  <si>
    <t>Coeficiente de descarga orificio</t>
  </si>
  <si>
    <t>Cd</t>
  </si>
  <si>
    <t>Orificio borde afilado, ASHRAE Handbook Fundamentals</t>
  </si>
  <si>
    <t>Set-point presión diferencial</t>
  </si>
  <si>
    <t>ΔP_pos</t>
  </si>
  <si>
    <t>Presión positiva vs zona adyacente</t>
  </si>
  <si>
    <t>Notas:</t>
  </si>
  <si>
    <t>• Modifique los valores en amarillo; todos los cálculos se actualizan automáticamente.</t>
  </si>
  <si>
    <t>• Las fórmulas están visibles en la barra de fórmulas de cada celda.</t>
  </si>
  <si>
    <t>• Unidades: 1 m³/min = 35.3147 CFM; 1 kW = 1.341 HP.</t>
  </si>
  <si>
    <t>3. DESARROLLO DE CÁLCULOS</t>
  </si>
  <si>
    <t>Paso</t>
  </si>
  <si>
    <t>Fórmula / Valor</t>
  </si>
  <si>
    <t>Resultado</t>
  </si>
  <si>
    <t>Referencia celda</t>
  </si>
  <si>
    <t>1</t>
  </si>
  <si>
    <t>Caudal de aire volumétrico</t>
  </si>
  <si>
    <t>Q = V × N / 60</t>
  </si>
  <si>
    <t>m³/min</t>
  </si>
  <si>
    <t>2</t>
  </si>
  <si>
    <t>Caudal de aire en m³/h</t>
  </si>
  <si>
    <t>Q_h = Q × 60</t>
  </si>
  <si>
    <t>m³/h</t>
  </si>
  <si>
    <t>3</t>
  </si>
  <si>
    <t>Caudal de aire en CFM</t>
  </si>
  <si>
    <t>Q_cfm = Q × 35.3147</t>
  </si>
  <si>
    <t>CFM</t>
  </si>
  <si>
    <t>4</t>
  </si>
  <si>
    <t>Caudal en m³/s</t>
  </si>
  <si>
    <t>Q_s = Q / 60</t>
  </si>
  <si>
    <t>m³/s</t>
  </si>
  <si>
    <t>5</t>
  </si>
  <si>
    <t>Potencia teórica del ventilador</t>
  </si>
  <si>
    <t>P = Q_s × ΔP / (η × 1000)</t>
  </si>
  <si>
    <t>kW</t>
  </si>
  <si>
    <t>6</t>
  </si>
  <si>
    <t>Potencia en HP</t>
  </si>
  <si>
    <t>HP = P × 1.341</t>
  </si>
  <si>
    <t>HP</t>
  </si>
  <si>
    <t>7</t>
  </si>
  <si>
    <t>Área de impulsión del ventilador</t>
  </si>
  <si>
    <t>A_vent = Q_s / v_vent</t>
  </si>
  <si>
    <t>m²</t>
  </si>
  <si>
    <t>8</t>
  </si>
  <si>
    <t>Diámetro equivalente del ventilador</t>
  </si>
  <si>
    <t>D = √(4×A_vent/π)</t>
  </si>
  <si>
    <t>m</t>
  </si>
  <si>
    <t>9</t>
  </si>
  <si>
    <t>Radio del ventilador</t>
  </si>
  <si>
    <t>r = D / 2</t>
  </si>
  <si>
    <t>10</t>
  </si>
  <si>
    <t>Radio del ventilador en mm</t>
  </si>
  <si>
    <t>r_mm = r × 1000</t>
  </si>
  <si>
    <t>mm</t>
  </si>
  <si>
    <t>11</t>
  </si>
  <si>
    <t>Área neta total de rejillas de salida</t>
  </si>
  <si>
    <t>A_exfil = Q_s / v_sal</t>
  </si>
  <si>
    <t>Área neta por rejilla de salida</t>
  </si>
  <si>
    <t>A_rej = A_exfil / n_rej</t>
  </si>
  <si>
    <t>13</t>
  </si>
  <si>
    <t>Altura de rejilla (proporción dada)</t>
  </si>
  <si>
    <t>h = √(A_rej / prop)</t>
  </si>
  <si>
    <t>14</t>
  </si>
  <si>
    <t>Ancho de rejilla</t>
  </si>
  <si>
    <t>w = A_rej / h</t>
  </si>
  <si>
    <t>15</t>
  </si>
  <si>
    <t>Altura de rejilla en mm</t>
  </si>
  <si>
    <t>h_mm = h × 1000</t>
  </si>
  <si>
    <t>16</t>
  </si>
  <si>
    <t>Ancho de rejilla en mm</t>
  </si>
  <si>
    <t>w_mm = w × 1000</t>
  </si>
  <si>
    <t>17</t>
  </si>
  <si>
    <t>Presión diferencial sostenida (orificio)</t>
  </si>
  <si>
    <t>dP = (rho/2)×(Q_s/(Cd×A_exfil))²</t>
  </si>
  <si>
    <t>18</t>
  </si>
  <si>
    <t>Área total requerida para 25 Pa</t>
  </si>
  <si>
    <t>A_25 = Q_s/(Cd×√(2×25/rho))</t>
  </si>
  <si>
    <t>4. RESUMEN DE RESULTADOS DE DISEÑO</t>
  </si>
  <si>
    <t>Caudal de diseño</t>
  </si>
  <si>
    <t>Caudal de impulsión requerido</t>
  </si>
  <si>
    <t>Equivalente en metros cúbicos por hora</t>
  </si>
  <si>
    <t>Equivalente en pies cúbicos por minuto</t>
  </si>
  <si>
    <t>Escenario MERV cargado a 190 Pa y η=0.60</t>
  </si>
  <si>
    <t>Unidades imperiales</t>
  </si>
  <si>
    <t>Potencia instalada recomendada</t>
  </si>
  <si>
    <t>Motor comercial con margen (escenario MERV)</t>
  </si>
  <si>
    <t>Boca del ventilador</t>
  </si>
  <si>
    <t>Para referencia</t>
  </si>
  <si>
    <t>Radio del ventilador (CFD)</t>
  </si>
  <si>
    <t>Círculo de inyección</t>
  </si>
  <si>
    <t>Velocidad de impulsión</t>
  </si>
  <si>
    <t>Condición de entrada CFD</t>
  </si>
  <si>
    <t>A v=3 m/s</t>
  </si>
  <si>
    <t>Cada rejilla</t>
  </si>
  <si>
    <t>Altura de rejilla de salida</t>
  </si>
  <si>
    <t>Dimensiones para CFD</t>
  </si>
  <si>
    <t>Ancho de rejilla de salida</t>
  </si>
  <si>
    <t>Velocidad de exfiltración</t>
  </si>
  <si>
    <t>Condición de salida CFD (pressure outlet)</t>
  </si>
  <si>
    <t>Presión diferencial sostenida (sin balancear)</t>
  </si>
  <si>
    <t>Cierre orificio, Cd=0.6</t>
  </si>
  <si>
    <t>Presión diferencial objetivo</t>
  </si>
  <si>
    <t>Con damper de alivio + control</t>
  </si>
  <si>
    <t>5. SUSTENTACIÓN NORMATIVA — 12 RENOVACIONES/HORA</t>
  </si>
  <si>
    <t>Norma / Guía</t>
  </si>
  <si>
    <t>Año / Edición</t>
  </si>
  <si>
    <t>Recomendación ACH</t>
  </si>
  <si>
    <t>ASHRAE 170 — Ventilation of Health Care Facilities</t>
  </si>
  <si>
    <t>2021</t>
  </si>
  <si>
    <t>6–15 ACH</t>
  </si>
  <si>
    <t>Laboratorios clínicos/procedimiento</t>
  </si>
  <si>
    <t>ASHRAE 62.1 — Ventilation for Acceptable IAQ</t>
  </si>
  <si>
    <t>2022</t>
  </si>
  <si>
    <t>Por ocupación y área</t>
  </si>
  <si>
    <t>Caudal mínimo de aire exterior</t>
  </si>
  <si>
    <t>OSHA 29 CFR 1910.1450 — Laboratory Standard</t>
  </si>
  <si>
    <t>2012</t>
  </si>
  <si>
    <t>Según PEL</t>
  </si>
  <si>
    <t>Ventilación para control de exposición</t>
  </si>
  <si>
    <t>NFPA 99 — Health Care Facilities Code</t>
  </si>
  <si>
    <t>Cumplimiento de sistemas</t>
  </si>
  <si>
    <t>Fiabilidad de sistemas de aire</t>
  </si>
  <si>
    <t>WHO — Laboratory Biosafety Manual (BSL-2)</t>
  </si>
  <si>
    <t>2004</t>
  </si>
  <si>
    <t>6–12 ACH</t>
  </si>
  <si>
    <t>12 ACH = límite superior BSL-2</t>
  </si>
  <si>
    <t>WHO — Laboratory Biosafety Manual (BSL-3)</t>
  </si>
  <si>
    <t>12–15 ACH</t>
  </si>
  <si>
    <t>12 ACH = umbral inferior BSL-3</t>
  </si>
  <si>
    <t>NIH — Design Requirements Manual</t>
  </si>
  <si>
    <t>2023</t>
  </si>
  <si>
    <t>10–12 ACH</t>
  </si>
  <si>
    <t>Punto de diseño para laboratorios biomédicos</t>
  </si>
  <si>
    <t>ASHRAE Handbook — Fundamentals</t>
  </si>
  <si>
    <t>—</t>
  </si>
  <si>
    <t>Coeficiente de descarga de orificios (Cd)</t>
  </si>
  <si>
    <t>RETIE (Colombia)</t>
  </si>
  <si>
    <t>vigente</t>
  </si>
  <si>
    <t>Seguridad eléctrica del motor del ventilador</t>
  </si>
  <si>
    <t>NTC 2050 (Colombia)</t>
  </si>
  <si>
    <t>Circuitos y protecciones eléctricas</t>
  </si>
  <si>
    <t>Resolución 0312/2019 MinSalud (Colombia)</t>
  </si>
  <si>
    <t>2019</t>
  </si>
  <si>
    <t>Habilitación de servicios de salud (si aplica)</t>
  </si>
  <si>
    <t>Conclusión</t>
  </si>
  <si>
    <t>La selección de 12 renovaciones de aire por hora está sustentada por las guías internacionales de bioseguridad (WHO BSL-2/BSL-3, NIH DRM) y los estándares de ventilación de ASHRAE para instalaciones de salud. El marco regulatorio local (RETIE, NTC 2050, Resolución 0312/2019) aplica a la infraestructura y seguridad eléctrica del equipo; no existe norma colombiana que fije un valor de ACH distinto para este caso.</t>
  </si>
  <si>
    <t>6. ESCENARIOS DE FILTRACIÓN Y MOTOR RECOMENDADO</t>
  </si>
  <si>
    <t>ΔP_vent total = ΔP_filtro + ΔP_offset (25 Pa) + ΔP_rejillas (11 Pa). El caudal Q_s se toma del paso 4 de la sección 3 (celda D51). Sitio: Cajicá, Cundinamarca (2 558 msnm, ρ = 0.88 kg/m³).</t>
  </si>
  <si>
    <t>Escenario de filtración</t>
  </si>
  <si>
    <t>ΔP filtro (Pa)</t>
  </si>
  <si>
    <t>ΔP vent total (Pa)</t>
  </si>
  <si>
    <t>P teórica (kW)</t>
  </si>
  <si>
    <t>P teórica (HP)</t>
  </si>
  <si>
    <t>Motor recomendado (HP)</t>
  </si>
  <si>
    <t>MERV 13-14 limpio</t>
  </si>
  <si>
    <t>MERV 13-14 cargado (diseño)</t>
  </si>
  <si>
    <t>HEPA H13 limpio (referencia histórica — no aplica)</t>
  </si>
  <si>
    <t>HEPA H13 cargado (referencia histórica — no aplica)</t>
  </si>
  <si>
    <t>Nota:</t>
  </si>
  <si>
    <t>El motor instalado de 1.0 HP TEFC anticorrosivo corresponde al escenario MERV 13-14 cargado, que es el punto de diseño. Los escenarios HEPA son solo referencia histórica: el laboratorio de análisis industrial NO requiere HEPA. Para selección de ventilador en catálogo (ρ = 1.2 kg/m³), usar el punto equivalente 3 840 m³/h @ 260 Pa (diseño) o 130 Pa (limpio). La potencia se recalcula automáticamente si cambia el caudal en la sección 3. DESARROLLO DE CÁLCULOS.</t>
  </si>
  <si>
    <t>7. VISTA RÁPIDA — RESULTADOS (FÓRMULAS VIVAS)</t>
  </si>
  <si>
    <t>Escenario MERV cargado a 190 Pa</t>
  </si>
  <si>
    <t>Motor comercial con margen</t>
  </si>
  <si>
    <t>Condición de salida CFD</t>
  </si>
  <si>
    <t>Sección con fórmulas vivas que referencian las secciones 3. DESARROLLO DE CÁLCULOS y 2. PARÁMETROS DE ENTRADA de esta misma hoja. Si modifica las entradas, esta vista y la sección 4. RESULTADOS se actualizan automáticamente.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</si>
</sst>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00000000000"/>
    <numFmt numFmtId="166" formatCode="0.0000"/>
    <numFmt numFmtId="167" formatCode="0.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theme="1"/>
      <name val="Calibri"/>
      <family val="2"/>
      <scheme val="minor"/>
    </font>
    <font>
      <sz val="12"/>
      <color rgb="FF00B050"/>
      <name val="Verdana"/>
      <family val="2"/>
    </font>
    <font>
      <b/>
      <sz val="12"/>
      <name val="Verdana"/>
      <family val="2"/>
    </font>
    <font>
      <sz val="12"/>
      <name val="Verdana"/>
      <family val="2"/>
    </font>
    <font>
      <sz val="12"/>
      <color theme="1"/>
      <name val="Verdana"/>
      <family val="2"/>
    </font>
    <font>
      <sz val="12"/>
      <color rgb="FFEAEAEA"/>
      <name val="Verdana"/>
      <family val="2"/>
    </font>
    <font>
      <b/>
      <sz val="12"/>
      <color theme="1"/>
      <name val="Verdana"/>
      <family val="2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1F4E78"/>
      <name val="Times New Roman"/>
      <family val="1"/>
    </font>
    <font>
      <b/>
      <sz val="12"/>
      <color rgb="FFFFFFFF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80"/>
      <name val="Times New Roman"/>
      <family val="1"/>
    </font>
    <font>
      <b/>
      <sz val="12"/>
      <color rgb="FF0061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  <fill>
      <patternFill patternType="solid">
        <fgColor rgb="FFC6EFCE"/>
        <bgColor rgb="FFC6EFCE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43" fontId="2" fillId="0" borderId="0"/>
  </cellStyleXfs>
  <cellXfs count="77">
    <xf numFmtId="0" fontId="0" fillId="0" borderId="0" xfId="0"/>
    <xf numFmtId="0" fontId="6" fillId="0" borderId="0" xfId="2" applyFont="1"/>
    <xf numFmtId="0" fontId="6" fillId="0" borderId="0" xfId="1" applyFont="1"/>
    <xf numFmtId="0" fontId="6" fillId="0" borderId="0" xfId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6" fillId="0" borderId="0" xfId="1" applyFont="1" applyAlignment="1">
      <alignment horizontal="left"/>
    </xf>
    <xf numFmtId="0" fontId="7" fillId="0" borderId="0" xfId="2" applyFont="1"/>
    <xf numFmtId="0" fontId="6" fillId="0" borderId="0" xfId="1" applyFont="1" applyAlignment="1">
      <alignment horizontal="left" vertical="center"/>
    </xf>
    <xf numFmtId="1" fontId="6" fillId="0" borderId="0" xfId="1" applyNumberFormat="1" applyFont="1" applyAlignment="1">
      <alignment horizontal="center"/>
    </xf>
    <xf numFmtId="43" fontId="6" fillId="0" borderId="0" xfId="3" applyFont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2" applyFont="1" applyAlignment="1">
      <alignment horizontal="right"/>
    </xf>
    <xf numFmtId="0" fontId="6" fillId="2" borderId="0" xfId="2" applyFont="1" applyFill="1"/>
    <xf numFmtId="14" fontId="1" fillId="0" borderId="1" xfId="1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0" xfId="1" applyFont="1" applyAlignment="1">
      <alignment horizontal="left"/>
    </xf>
    <xf numFmtId="0" fontId="6" fillId="0" borderId="0" xfId="1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0" borderId="1" xfId="1" applyFont="1" applyBorder="1" applyAlignment="1">
      <alignment horizontal="center" vertical="center" wrapText="1"/>
    </xf>
    <xf numFmtId="165" fontId="5" fillId="0" borderId="1" xfId="1" applyNumberFormat="1" applyFont="1" applyBorder="1" applyAlignment="1" applyProtection="1">
      <alignment horizontal="left" vertical="center" indent="1"/>
      <protection hidden="1"/>
    </xf>
    <xf numFmtId="0" fontId="0" fillId="0" borderId="9" xfId="0" applyBorder="1" applyProtection="1">
      <protection hidden="1"/>
    </xf>
    <xf numFmtId="0" fontId="0" fillId="0" borderId="10" xfId="0" applyBorder="1" applyProtection="1">
      <protection hidden="1"/>
    </xf>
    <xf numFmtId="0" fontId="6" fillId="0" borderId="0" xfId="1" applyFont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 indent="1"/>
    </xf>
    <xf numFmtId="0" fontId="0" fillId="0" borderId="9" xfId="0" applyBorder="1"/>
    <xf numFmtId="0" fontId="0" fillId="0" borderId="10" xfId="0" applyBorder="1"/>
    <xf numFmtId="164" fontId="6" fillId="0" borderId="1" xfId="1" applyNumberFormat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/>
    </xf>
    <xf numFmtId="0" fontId="6" fillId="0" borderId="0" xfId="2" applyFont="1"/>
    <xf numFmtId="0" fontId="8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  <xf numFmtId="165" fontId="1" fillId="0" borderId="1" xfId="1" applyNumberFormat="1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164" fontId="8" fillId="4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1" fillId="0" borderId="0" xfId="0" applyFont="1"/>
    <xf numFmtId="0" fontId="11" fillId="0" borderId="11" xfId="0" applyFont="1" applyBorder="1"/>
    <xf numFmtId="0" fontId="11" fillId="0" borderId="12" xfId="0" applyFont="1" applyBorder="1"/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2" fillId="0" borderId="0" xfId="0" applyFont="1"/>
    <xf numFmtId="0" fontId="11" fillId="0" borderId="0" xfId="0" applyFont="1"/>
    <xf numFmtId="0" fontId="13" fillId="5" borderId="13" xfId="0" applyFont="1" applyFill="1" applyBorder="1" applyAlignment="1">
      <alignment horizontal="center" vertical="center" wrapText="1"/>
    </xf>
    <xf numFmtId="0" fontId="13" fillId="5" borderId="13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3" xfId="0" applyFont="1" applyBorder="1"/>
    <xf numFmtId="0" fontId="11" fillId="0" borderId="0" xfId="0" applyFont="1" applyAlignment="1">
      <alignment vertical="top" wrapText="1"/>
    </xf>
    <xf numFmtId="0" fontId="14" fillId="6" borderId="13" xfId="0" applyFont="1" applyFill="1" applyBorder="1" applyAlignment="1">
      <alignment horizontal="center" vertical="center" wrapText="1"/>
    </xf>
    <xf numFmtId="166" fontId="16" fillId="8" borderId="13" xfId="0" applyNumberFormat="1" applyFont="1" applyFill="1" applyBorder="1" applyAlignment="1">
      <alignment horizontal="center" vertical="center" wrapText="1"/>
    </xf>
    <xf numFmtId="1" fontId="16" fillId="8" borderId="13" xfId="0" applyNumberFormat="1" applyFont="1" applyFill="1" applyBorder="1" applyAlignment="1">
      <alignment horizontal="center" vertical="center" wrapText="1"/>
    </xf>
    <xf numFmtId="167" fontId="16" fillId="8" borderId="13" xfId="0" applyNumberFormat="1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67" fontId="11" fillId="0" borderId="13" xfId="0" applyNumberFormat="1" applyFont="1" applyBorder="1" applyAlignment="1">
      <alignment horizontal="center" vertical="center" wrapText="1"/>
    </xf>
    <xf numFmtId="2" fontId="15" fillId="7" borderId="13" xfId="0" applyNumberFormat="1" applyFont="1" applyFill="1" applyBorder="1" applyAlignment="1">
      <alignment horizontal="center" vertical="center" wrapText="1"/>
    </xf>
    <xf numFmtId="164" fontId="16" fillId="8" borderId="13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indent="16"/>
    </xf>
    <xf numFmtId="0" fontId="11" fillId="0" borderId="10" xfId="0" applyFont="1" applyBorder="1" applyAlignment="1">
      <alignment horizontal="left" indent="16"/>
    </xf>
  </cellXfs>
  <cellStyles count="4">
    <cellStyle name="Millares 2" xfId="3" xr:uid="{00000000-0005-0000-0000-000003000000}"/>
    <cellStyle name="Normal" xfId="0" builtinId="0"/>
    <cellStyle name="Normal 3 2" xfId="2" xr:uid="{00000000-0005-0000-0000-000002000000}"/>
    <cellStyle name="Normal 6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154215</xdr:colOff>
      <xdr:row>1</xdr:row>
      <xdr:rowOff>147735</xdr:rowOff>
    </xdr:from>
    <xdr:to>
      <xdr:col>23</xdr:col>
      <xdr:colOff>508000</xdr:colOff>
      <xdr:row>4</xdr:row>
      <xdr:rowOff>18144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1072" y="466531"/>
          <a:ext cx="2530928" cy="82679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99786</xdr:colOff>
      <xdr:row>0</xdr:row>
      <xdr:rowOff>117927</xdr:rowOff>
    </xdr:from>
    <xdr:to>
      <xdr:col>12</xdr:col>
      <xdr:colOff>27213</xdr:colOff>
      <xdr:row>4</xdr:row>
      <xdr:rowOff>234424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6572" y="117927"/>
          <a:ext cx="2422070" cy="138649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237893</xdr:colOff>
      <xdr:row>1</xdr:row>
      <xdr:rowOff>11289</xdr:rowOff>
    </xdr:from>
    <xdr:to>
      <xdr:col>1</xdr:col>
      <xdr:colOff>1928327</xdr:colOff>
      <xdr:row>3</xdr:row>
      <xdr:rowOff>157065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11587" y="205676"/>
          <a:ext cx="1690434" cy="53455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461652</xdr:colOff>
      <xdr:row>0</xdr:row>
      <xdr:rowOff>144478</xdr:rowOff>
    </xdr:from>
    <xdr:to>
      <xdr:col>0</xdr:col>
      <xdr:colOff>2091612</xdr:colOff>
      <xdr:row>4</xdr:row>
      <xdr:rowOff>58316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540" t="12476" r="4665" b="12920"/>
        <a:stretch>
          <a:fillRect/>
        </a:stretch>
      </xdr:blipFill>
      <xdr:spPr>
        <a:xfrm>
          <a:off x="461652" y="144478"/>
          <a:ext cx="1629960" cy="69138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D54"/>
  <sheetViews>
    <sheetView showGridLines="0" tabSelected="1" view="pageBreakPreview" zoomScale="70" zoomScaleNormal="25" zoomScaleSheetLayoutView="70" workbookViewId="0">
      <selection activeCell="CB23" sqref="CB23"/>
    </sheetView>
  </sheetViews>
  <sheetFormatPr baseColWidth="10" defaultColWidth="3.15234375" defaultRowHeight="12" customHeight="1" x14ac:dyDescent="0.35"/>
  <cols>
    <col min="1" max="22" width="3.15234375" style="2" customWidth="1"/>
    <col min="23" max="23" width="5.23046875" style="2" customWidth="1"/>
    <col min="24" max="24" width="8.84375" style="2" customWidth="1"/>
    <col min="25" max="48" width="3.15234375" style="2" customWidth="1"/>
    <col min="49" max="53" width="3.15234375" style="5" customWidth="1"/>
    <col min="54" max="79" width="3.15234375" style="2" customWidth="1"/>
    <col min="80" max="80" width="54.4609375" style="2" customWidth="1"/>
    <col min="81" max="81" width="28.69140625" style="2" customWidth="1"/>
    <col min="82" max="82" width="3.15234375" style="2" customWidth="1"/>
    <col min="83" max="16384" width="3.15234375" style="2"/>
  </cols>
  <sheetData>
    <row r="1" spans="1:82" s="1" customFormat="1" ht="25" customHeight="1" x14ac:dyDescent="0.4">
      <c r="A1" s="4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5"/>
      <c r="N1" s="35"/>
      <c r="O1" s="14"/>
      <c r="P1" s="14"/>
      <c r="Q1" s="14"/>
      <c r="R1" s="14"/>
      <c r="S1" s="14"/>
      <c r="T1" s="14"/>
      <c r="U1" s="14"/>
      <c r="V1" s="14"/>
      <c r="W1" s="14"/>
      <c r="X1" s="14"/>
      <c r="Y1" s="15"/>
      <c r="Z1" s="39" t="s">
        <v>0</v>
      </c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5"/>
      <c r="BC1" s="30" t="s">
        <v>1</v>
      </c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2"/>
      <c r="BO1" s="24" t="s">
        <v>2</v>
      </c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6"/>
      <c r="CB1" s="11" t="s">
        <v>3</v>
      </c>
      <c r="CC1" s="12" t="s">
        <v>4</v>
      </c>
    </row>
    <row r="2" spans="1:82" s="1" customFormat="1" ht="25" customHeight="1" x14ac:dyDescent="0.4">
      <c r="A2" s="1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19"/>
      <c r="N2" s="16"/>
      <c r="O2" s="36"/>
      <c r="P2" s="36"/>
      <c r="Q2" s="36"/>
      <c r="R2" s="36"/>
      <c r="S2" s="36"/>
      <c r="T2" s="36"/>
      <c r="U2" s="36"/>
      <c r="V2" s="36"/>
      <c r="W2" s="36"/>
      <c r="X2" s="36"/>
      <c r="Y2" s="19"/>
      <c r="Z2" s="20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2"/>
      <c r="BC2" s="30" t="s">
        <v>5</v>
      </c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2"/>
      <c r="BO2" s="24" t="s">
        <v>6</v>
      </c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6"/>
      <c r="CB2" s="11" t="s">
        <v>7</v>
      </c>
      <c r="CC2" s="12" t="s">
        <v>8</v>
      </c>
    </row>
    <row r="3" spans="1:82" s="1" customFormat="1" ht="25" customHeight="1" x14ac:dyDescent="0.4">
      <c r="A3" s="1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19"/>
      <c r="N3" s="16"/>
      <c r="O3" s="36"/>
      <c r="P3" s="36"/>
      <c r="Q3" s="36"/>
      <c r="R3" s="36"/>
      <c r="S3" s="36"/>
      <c r="T3" s="36"/>
      <c r="U3" s="36"/>
      <c r="V3" s="36"/>
      <c r="W3" s="36"/>
      <c r="X3" s="36"/>
      <c r="Y3" s="19"/>
      <c r="Z3" s="39" t="s">
        <v>9</v>
      </c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5"/>
      <c r="BC3" s="30" t="s">
        <v>10</v>
      </c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2"/>
      <c r="BO3" s="24" t="s">
        <v>4</v>
      </c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6"/>
    </row>
    <row r="4" spans="1:82" s="1" customFormat="1" ht="25" customHeight="1" x14ac:dyDescent="0.4">
      <c r="A4" s="1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19"/>
      <c r="N4" s="16"/>
      <c r="O4" s="36"/>
      <c r="P4" s="36"/>
      <c r="Q4" s="36"/>
      <c r="R4" s="36"/>
      <c r="S4" s="36"/>
      <c r="T4" s="36"/>
      <c r="U4" s="36"/>
      <c r="V4" s="36"/>
      <c r="W4" s="36"/>
      <c r="X4" s="36"/>
      <c r="Y4" s="19"/>
      <c r="Z4" s="20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2"/>
      <c r="BC4" s="30" t="s">
        <v>11</v>
      </c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2"/>
      <c r="BO4" s="24" t="s">
        <v>12</v>
      </c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6"/>
    </row>
    <row r="5" spans="1:82" s="1" customFormat="1" ht="25" customHeight="1" x14ac:dyDescent="0.4">
      <c r="A5" s="20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  <c r="N5" s="20"/>
      <c r="O5" s="21"/>
      <c r="P5" s="21"/>
      <c r="Q5" s="21"/>
      <c r="R5" s="21"/>
      <c r="S5" s="21"/>
      <c r="T5" s="21"/>
      <c r="U5" s="21"/>
      <c r="V5" s="21"/>
      <c r="W5" s="21"/>
      <c r="X5" s="21"/>
      <c r="Y5" s="22"/>
      <c r="Z5" s="34" t="s">
        <v>13</v>
      </c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5"/>
      <c r="BC5" s="30" t="s">
        <v>14</v>
      </c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2"/>
      <c r="BO5" s="24" t="s">
        <v>15</v>
      </c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6"/>
    </row>
    <row r="6" spans="1:82" s="1" customFormat="1" ht="25" customHeight="1" x14ac:dyDescent="0.4">
      <c r="A6" s="40" t="s">
        <v>16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2"/>
      <c r="N6" s="40" t="s">
        <v>17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2"/>
      <c r="Z6" s="20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2"/>
      <c r="BC6" s="30" t="s">
        <v>18</v>
      </c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2"/>
      <c r="BO6" s="24" t="s">
        <v>19</v>
      </c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6"/>
    </row>
    <row r="7" spans="1:82" ht="15" customHeight="1" x14ac:dyDescent="0.35"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  <c r="AD7" s="3"/>
      <c r="AE7" s="3"/>
      <c r="AF7" s="3"/>
      <c r="CD7" s="6"/>
    </row>
    <row r="8" spans="1:82" ht="15" customHeight="1" x14ac:dyDescent="0.35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  <c r="AD8" s="3"/>
      <c r="AE8" s="3"/>
      <c r="AF8" s="3"/>
      <c r="CD8" s="6"/>
    </row>
    <row r="9" spans="1:82" ht="15" customHeight="1" x14ac:dyDescent="0.35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  <c r="AD9" s="3"/>
      <c r="AE9" s="3"/>
      <c r="AF9" s="3"/>
      <c r="CD9" s="6"/>
    </row>
    <row r="10" spans="1:82" ht="15" customHeight="1" x14ac:dyDescent="0.35"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  <c r="AD10" s="3"/>
      <c r="AE10" s="3"/>
      <c r="AF10" s="3"/>
      <c r="CD10" s="6"/>
    </row>
    <row r="11" spans="1:82" ht="15" customHeight="1" x14ac:dyDescent="0.35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  <c r="AD11" s="3"/>
      <c r="AE11" s="3"/>
      <c r="AF11" s="3"/>
      <c r="CD11" s="6"/>
    </row>
    <row r="12" spans="1:82" ht="15" customHeight="1" x14ac:dyDescent="0.35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  <c r="AD12" s="3"/>
      <c r="AE12" s="3"/>
      <c r="AF12" s="3"/>
      <c r="CD12" s="6"/>
    </row>
    <row r="13" spans="1:82" ht="15" customHeight="1" x14ac:dyDescent="0.35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  <c r="AD13" s="3"/>
      <c r="AE13" s="3"/>
      <c r="AF13" s="3"/>
      <c r="CD13" s="6"/>
    </row>
    <row r="14" spans="1:82" ht="15" customHeight="1" x14ac:dyDescent="0.35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  <c r="AD14" s="3"/>
      <c r="AE14" s="3"/>
      <c r="AF14" s="3"/>
      <c r="CD14" s="6"/>
    </row>
    <row r="15" spans="1:82" ht="15" customHeight="1" x14ac:dyDescent="0.3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  <c r="AD15" s="3"/>
      <c r="AE15" s="3"/>
      <c r="AF15" s="3"/>
      <c r="CD15" s="6"/>
    </row>
    <row r="16" spans="1:82" ht="15" customHeight="1" x14ac:dyDescent="0.35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  <c r="AD16" s="3"/>
      <c r="AE16" s="3"/>
      <c r="AF16" s="3"/>
      <c r="CD16" s="6"/>
    </row>
    <row r="17" spans="7:82" ht="15" customHeight="1" x14ac:dyDescent="0.35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  <c r="AD17" s="3"/>
      <c r="AE17" s="3"/>
      <c r="AF17" s="3"/>
      <c r="CD17" s="6"/>
    </row>
    <row r="18" spans="7:82" ht="15" customHeight="1" x14ac:dyDescent="0.35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  <c r="AD18" s="3"/>
      <c r="AE18" s="3"/>
      <c r="AF18" s="3"/>
      <c r="CD18" s="6"/>
    </row>
    <row r="19" spans="7:82" ht="15" customHeight="1" x14ac:dyDescent="0.35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  <c r="AD19" s="3"/>
      <c r="AE19" s="3"/>
      <c r="AF19" s="3"/>
      <c r="CD19" s="6"/>
    </row>
    <row r="20" spans="7:82" ht="15" customHeight="1" x14ac:dyDescent="0.35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  <c r="AD20" s="3"/>
      <c r="AE20" s="3"/>
      <c r="AF20" s="3"/>
      <c r="CD20" s="6"/>
    </row>
    <row r="21" spans="7:82" ht="15" customHeight="1" x14ac:dyDescent="0.35"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1" t="s">
        <v>20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5"/>
      <c r="AF21" s="41" t="s">
        <v>21</v>
      </c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/>
      <c r="AT21" s="41" t="s">
        <v>22</v>
      </c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5"/>
    </row>
    <row r="22" spans="7:82" ht="15" customHeight="1" x14ac:dyDescent="0.35"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16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9"/>
      <c r="AF22" s="16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9"/>
      <c r="AT22" s="16"/>
      <c r="AU22" s="18"/>
      <c r="AV22" s="18"/>
      <c r="AW22" s="17"/>
      <c r="AX22" s="17"/>
      <c r="AY22" s="17"/>
      <c r="AZ22" s="17"/>
      <c r="BA22" s="17"/>
      <c r="BB22" s="18"/>
      <c r="BC22" s="18"/>
      <c r="BD22" s="18"/>
      <c r="BE22" s="18"/>
      <c r="BF22" s="18"/>
      <c r="BG22" s="19"/>
    </row>
    <row r="23" spans="7:82" ht="15" customHeight="1" x14ac:dyDescent="0.35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20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2"/>
      <c r="AF23" s="20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2"/>
      <c r="AT23" s="20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2"/>
    </row>
    <row r="24" spans="7:82" ht="15" customHeight="1" x14ac:dyDescent="0.35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7" t="s">
        <v>12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5"/>
      <c r="AF24" s="29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5"/>
      <c r="AT24" s="29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5"/>
    </row>
    <row r="25" spans="7:82" ht="15" customHeight="1" x14ac:dyDescent="0.35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16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9"/>
      <c r="AF25" s="16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9"/>
      <c r="AT25" s="16"/>
      <c r="AU25" s="18"/>
      <c r="AV25" s="18"/>
      <c r="AW25" s="17"/>
      <c r="AX25" s="17"/>
      <c r="AY25" s="17"/>
      <c r="AZ25" s="17"/>
      <c r="BA25" s="17"/>
      <c r="BB25" s="18"/>
      <c r="BC25" s="18"/>
      <c r="BD25" s="18"/>
      <c r="BE25" s="18"/>
      <c r="BF25" s="18"/>
      <c r="BG25" s="19"/>
    </row>
    <row r="26" spans="7:82" ht="15" customHeight="1" x14ac:dyDescent="0.35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20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2"/>
      <c r="AF26" s="20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2"/>
      <c r="AT26" s="20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2"/>
    </row>
    <row r="27" spans="7:82" ht="15" customHeight="1" x14ac:dyDescent="0.35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29" t="str">
        <f>"Fecha :"&amp;BO3</f>
        <v>Fecha :JULIO 23 DEL 2026</v>
      </c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5"/>
      <c r="AF27" s="29" t="str">
        <f>"Fecha :"&amp;CC1</f>
        <v>Fecha :JULIO 23 DEL 2026</v>
      </c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5"/>
      <c r="AT27" s="29" t="str">
        <f>"Fecha :"&amp;CC2</f>
        <v>Fecha :JULIO 24 DEL 2026</v>
      </c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5"/>
    </row>
    <row r="28" spans="7:82" ht="15" customHeight="1" x14ac:dyDescent="0.35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16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9"/>
      <c r="AF28" s="16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9"/>
      <c r="AT28" s="16"/>
      <c r="AU28" s="18"/>
      <c r="AV28" s="18"/>
      <c r="AW28" s="17"/>
      <c r="AX28" s="17"/>
      <c r="AY28" s="17"/>
      <c r="AZ28" s="17"/>
      <c r="BA28" s="17"/>
      <c r="BB28" s="18"/>
      <c r="BC28" s="18"/>
      <c r="BD28" s="18"/>
      <c r="BE28" s="18"/>
      <c r="BF28" s="18"/>
      <c r="BG28" s="19"/>
    </row>
    <row r="29" spans="7:82" ht="15" customHeight="1" x14ac:dyDescent="0.35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20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2"/>
      <c r="AF29" s="20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2"/>
      <c r="AT29" s="20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2"/>
    </row>
    <row r="30" spans="7:82" ht="15" customHeight="1" x14ac:dyDescent="0.35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  <c r="AD30" s="3"/>
      <c r="AE30" s="3"/>
      <c r="AF30" s="3"/>
    </row>
    <row r="31" spans="7:82" ht="15" customHeight="1" x14ac:dyDescent="0.35"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  <c r="AD31" s="3"/>
      <c r="AE31" s="3"/>
      <c r="AF31" s="3"/>
    </row>
    <row r="32" spans="7:82" ht="15" customHeight="1" x14ac:dyDescent="0.35"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  <c r="AD32" s="3"/>
      <c r="AE32" s="3"/>
      <c r="AF32" s="3"/>
    </row>
    <row r="33" spans="7:78" ht="15" customHeight="1" x14ac:dyDescent="0.35"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  <c r="AD33" s="3"/>
      <c r="AE33" s="3"/>
      <c r="AF33" s="3"/>
    </row>
    <row r="34" spans="7:78" ht="15" customHeight="1" x14ac:dyDescent="0.35"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  <c r="AD34" s="3"/>
      <c r="AE34" s="3"/>
      <c r="AF34" s="3"/>
    </row>
    <row r="35" spans="7:78" ht="15" customHeight="1" x14ac:dyDescent="0.3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4"/>
      <c r="AD35" s="3"/>
      <c r="AE35" s="3"/>
      <c r="AF35" s="3"/>
    </row>
    <row r="36" spans="7:78" ht="15" customHeight="1" x14ac:dyDescent="0.35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4"/>
      <c r="AD36" s="3"/>
      <c r="AE36" s="3"/>
      <c r="AF36" s="3"/>
      <c r="BK36" s="3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</row>
    <row r="37" spans="7:78" ht="15" customHeight="1" x14ac:dyDescent="0.35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4"/>
      <c r="AD37" s="3"/>
      <c r="AE37" s="3"/>
      <c r="AF37" s="3"/>
    </row>
    <row r="38" spans="7:78" ht="15" customHeight="1" x14ac:dyDescent="0.35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4"/>
      <c r="AD38" s="3"/>
      <c r="AE38" s="3"/>
      <c r="AF38" s="3"/>
    </row>
    <row r="39" spans="7:78" ht="15" customHeight="1" x14ac:dyDescent="0.35">
      <c r="G39" s="3"/>
      <c r="H39" s="3"/>
      <c r="I39" s="3"/>
      <c r="J39" s="3"/>
      <c r="K39" s="3"/>
      <c r="L39" s="3"/>
      <c r="M39" s="3"/>
      <c r="N39" s="3"/>
      <c r="O39" s="42" t="s">
        <v>23</v>
      </c>
      <c r="P39" s="14"/>
      <c r="Q39" s="14"/>
      <c r="R39" s="14"/>
      <c r="S39" s="14"/>
      <c r="T39" s="14"/>
      <c r="U39" s="15"/>
      <c r="V39" s="42" t="s">
        <v>24</v>
      </c>
      <c r="W39" s="14"/>
      <c r="X39" s="14"/>
      <c r="Y39" s="14"/>
      <c r="Z39" s="14"/>
      <c r="AA39" s="14"/>
      <c r="AB39" s="15"/>
      <c r="AC39" s="46" t="s">
        <v>25</v>
      </c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5"/>
      <c r="AP39" s="42" t="s">
        <v>26</v>
      </c>
      <c r="AQ39" s="14"/>
      <c r="AR39" s="14"/>
      <c r="AS39" s="14"/>
      <c r="AT39" s="14"/>
      <c r="AU39" s="14"/>
      <c r="AV39" s="15"/>
      <c r="AW39" s="42" t="s">
        <v>27</v>
      </c>
      <c r="AX39" s="14"/>
      <c r="AY39" s="14"/>
      <c r="AZ39" s="14"/>
      <c r="BA39" s="14"/>
      <c r="BB39" s="14"/>
      <c r="BC39" s="15"/>
      <c r="BD39" s="42" t="s">
        <v>28</v>
      </c>
      <c r="BE39" s="14"/>
      <c r="BF39" s="14"/>
      <c r="BG39" s="14"/>
      <c r="BH39" s="14"/>
      <c r="BI39" s="14"/>
      <c r="BJ39" s="15"/>
    </row>
    <row r="40" spans="7:78" ht="15" customHeight="1" x14ac:dyDescent="0.35">
      <c r="G40" s="3"/>
      <c r="H40" s="3"/>
      <c r="I40" s="3"/>
      <c r="J40" s="3"/>
      <c r="K40" s="3"/>
      <c r="L40" s="3"/>
      <c r="M40" s="3"/>
      <c r="N40" s="3"/>
      <c r="O40" s="16"/>
      <c r="P40" s="18"/>
      <c r="Q40" s="18"/>
      <c r="R40" s="18"/>
      <c r="S40" s="18"/>
      <c r="T40" s="18"/>
      <c r="U40" s="19"/>
      <c r="V40" s="16"/>
      <c r="W40" s="18"/>
      <c r="X40" s="18"/>
      <c r="Y40" s="18"/>
      <c r="Z40" s="18"/>
      <c r="AA40" s="18"/>
      <c r="AB40" s="19"/>
      <c r="AC40" s="16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9"/>
      <c r="AP40" s="16"/>
      <c r="AQ40" s="18"/>
      <c r="AR40" s="18"/>
      <c r="AS40" s="18"/>
      <c r="AT40" s="18"/>
      <c r="AU40" s="18"/>
      <c r="AV40" s="19"/>
      <c r="AW40" s="16"/>
      <c r="AX40" s="17"/>
      <c r="AY40" s="17"/>
      <c r="AZ40" s="17"/>
      <c r="BA40" s="17"/>
      <c r="BB40" s="18"/>
      <c r="BC40" s="19"/>
      <c r="BD40" s="16"/>
      <c r="BE40" s="18"/>
      <c r="BF40" s="18"/>
      <c r="BG40" s="18"/>
      <c r="BH40" s="18"/>
      <c r="BI40" s="18"/>
      <c r="BJ40" s="19"/>
    </row>
    <row r="41" spans="7:78" ht="15" customHeight="1" x14ac:dyDescent="0.35">
      <c r="G41" s="3"/>
      <c r="H41" s="3"/>
      <c r="I41" s="3"/>
      <c r="J41" s="3"/>
      <c r="K41" s="3"/>
      <c r="L41" s="3"/>
      <c r="M41" s="3"/>
      <c r="N41" s="3"/>
      <c r="O41" s="20"/>
      <c r="P41" s="21"/>
      <c r="Q41" s="21"/>
      <c r="R41" s="21"/>
      <c r="S41" s="21"/>
      <c r="T41" s="21"/>
      <c r="U41" s="22"/>
      <c r="V41" s="20"/>
      <c r="W41" s="21"/>
      <c r="X41" s="21"/>
      <c r="Y41" s="21"/>
      <c r="Z41" s="21"/>
      <c r="AA41" s="21"/>
      <c r="AB41" s="22"/>
      <c r="AC41" s="20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2"/>
      <c r="AP41" s="20"/>
      <c r="AQ41" s="21"/>
      <c r="AR41" s="21"/>
      <c r="AS41" s="21"/>
      <c r="AT41" s="21"/>
      <c r="AU41" s="21"/>
      <c r="AV41" s="22"/>
      <c r="AW41" s="20"/>
      <c r="AX41" s="21"/>
      <c r="AY41" s="21"/>
      <c r="AZ41" s="21"/>
      <c r="BA41" s="21"/>
      <c r="BB41" s="21"/>
      <c r="BC41" s="22"/>
      <c r="BD41" s="20"/>
      <c r="BE41" s="21"/>
      <c r="BF41" s="21"/>
      <c r="BG41" s="21"/>
      <c r="BH41" s="21"/>
      <c r="BI41" s="21"/>
      <c r="BJ41" s="22"/>
    </row>
    <row r="42" spans="7:78" ht="15" customHeight="1" x14ac:dyDescent="0.35">
      <c r="G42" s="3"/>
      <c r="H42" s="3"/>
      <c r="I42" s="3"/>
      <c r="J42" s="3"/>
      <c r="K42" s="3"/>
      <c r="L42" s="3"/>
      <c r="M42" s="3"/>
      <c r="N42" s="3"/>
      <c r="O42" s="28" t="s">
        <v>6</v>
      </c>
      <c r="P42" s="14"/>
      <c r="Q42" s="14"/>
      <c r="R42" s="14"/>
      <c r="S42" s="14"/>
      <c r="T42" s="14"/>
      <c r="U42" s="15"/>
      <c r="V42" s="28" t="s">
        <v>12</v>
      </c>
      <c r="W42" s="14"/>
      <c r="X42" s="14"/>
      <c r="Y42" s="14"/>
      <c r="Z42" s="14"/>
      <c r="AA42" s="14"/>
      <c r="AB42" s="15"/>
      <c r="AC42" s="45" t="s">
        <v>29</v>
      </c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5"/>
      <c r="AP42" s="13" t="str">
        <f>BO3</f>
        <v>JULIO 23 DEL 2026</v>
      </c>
      <c r="AQ42" s="14"/>
      <c r="AR42" s="14"/>
      <c r="AS42" s="14"/>
      <c r="AT42" s="14"/>
      <c r="AU42" s="14"/>
      <c r="AV42" s="15"/>
      <c r="AW42" s="13" t="str">
        <f>AT27</f>
        <v>Fecha :JULIO 24 DEL 2026</v>
      </c>
      <c r="AX42" s="14"/>
      <c r="AY42" s="14"/>
      <c r="AZ42" s="14"/>
      <c r="BA42" s="14"/>
      <c r="BB42" s="14"/>
      <c r="BC42" s="15"/>
      <c r="BD42" s="44" t="str">
        <f>BO5</f>
        <v>F.NAVIA</v>
      </c>
      <c r="BE42" s="14"/>
      <c r="BF42" s="14"/>
      <c r="BG42" s="14"/>
      <c r="BH42" s="14"/>
      <c r="BI42" s="14"/>
      <c r="BJ42" s="15"/>
    </row>
    <row r="43" spans="7:78" ht="15" customHeight="1" x14ac:dyDescent="0.35">
      <c r="G43" s="3"/>
      <c r="H43" s="3"/>
      <c r="I43" s="3"/>
      <c r="J43" s="3"/>
      <c r="K43" s="3"/>
      <c r="L43" s="3"/>
      <c r="M43" s="3"/>
      <c r="N43" s="3"/>
      <c r="O43" s="16"/>
      <c r="P43" s="18"/>
      <c r="Q43" s="18"/>
      <c r="R43" s="18"/>
      <c r="S43" s="18"/>
      <c r="T43" s="18"/>
      <c r="U43" s="19"/>
      <c r="V43" s="16"/>
      <c r="W43" s="18"/>
      <c r="X43" s="18"/>
      <c r="Y43" s="18"/>
      <c r="Z43" s="18"/>
      <c r="AA43" s="18"/>
      <c r="AB43" s="19"/>
      <c r="AC43" s="16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9"/>
      <c r="AP43" s="16"/>
      <c r="AQ43" s="18"/>
      <c r="AR43" s="18"/>
      <c r="AS43" s="18"/>
      <c r="AT43" s="18"/>
      <c r="AU43" s="18"/>
      <c r="AV43" s="19"/>
      <c r="AW43" s="16"/>
      <c r="AX43" s="17"/>
      <c r="AY43" s="17"/>
      <c r="AZ43" s="17"/>
      <c r="BA43" s="17"/>
      <c r="BB43" s="18"/>
      <c r="BC43" s="19"/>
      <c r="BD43" s="16"/>
      <c r="BE43" s="18"/>
      <c r="BF43" s="18"/>
      <c r="BG43" s="18"/>
      <c r="BH43" s="18"/>
      <c r="BI43" s="18"/>
      <c r="BJ43" s="19"/>
      <c r="BP43" s="38"/>
      <c r="BQ43" s="18"/>
      <c r="BR43" s="18"/>
      <c r="BS43" s="18"/>
      <c r="BT43" s="18"/>
      <c r="BU43" s="18"/>
      <c r="BV43" s="18"/>
    </row>
    <row r="44" spans="7:78" ht="15" customHeight="1" x14ac:dyDescent="0.35">
      <c r="G44" s="3"/>
      <c r="H44" s="3"/>
      <c r="I44" s="3"/>
      <c r="J44" s="3"/>
      <c r="K44" s="3"/>
      <c r="L44" s="3"/>
      <c r="M44" s="3"/>
      <c r="N44" s="3"/>
      <c r="O44" s="20"/>
      <c r="P44" s="21"/>
      <c r="Q44" s="21"/>
      <c r="R44" s="21"/>
      <c r="S44" s="21"/>
      <c r="T44" s="21"/>
      <c r="U44" s="22"/>
      <c r="V44" s="20"/>
      <c r="W44" s="21"/>
      <c r="X44" s="21"/>
      <c r="Y44" s="21"/>
      <c r="Z44" s="21"/>
      <c r="AA44" s="21"/>
      <c r="AB44" s="22"/>
      <c r="AC44" s="20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2"/>
      <c r="AP44" s="20"/>
      <c r="AQ44" s="21"/>
      <c r="AR44" s="21"/>
      <c r="AS44" s="21"/>
      <c r="AT44" s="21"/>
      <c r="AU44" s="21"/>
      <c r="AV44" s="22"/>
      <c r="AW44" s="20"/>
      <c r="AX44" s="21"/>
      <c r="AY44" s="21"/>
      <c r="AZ44" s="21"/>
      <c r="BA44" s="21"/>
      <c r="BB44" s="21"/>
      <c r="BC44" s="22"/>
      <c r="BD44" s="20"/>
      <c r="BE44" s="21"/>
      <c r="BF44" s="21"/>
      <c r="BG44" s="21"/>
      <c r="BH44" s="21"/>
      <c r="BI44" s="21"/>
      <c r="BJ44" s="22"/>
    </row>
    <row r="45" spans="7:78" ht="15" customHeight="1" x14ac:dyDescent="0.35">
      <c r="G45" s="3"/>
      <c r="H45" s="3"/>
      <c r="I45" s="3"/>
      <c r="J45" s="3"/>
      <c r="K45" s="3"/>
      <c r="L45" s="3"/>
      <c r="M45" s="3"/>
      <c r="N45" s="3"/>
      <c r="O45" s="23"/>
      <c r="P45" s="14"/>
      <c r="Q45" s="14"/>
      <c r="R45" s="14"/>
      <c r="S45" s="14"/>
      <c r="T45" s="14"/>
      <c r="U45" s="15"/>
      <c r="V45" s="23"/>
      <c r="W45" s="14"/>
      <c r="X45" s="14"/>
      <c r="Y45" s="14"/>
      <c r="Z45" s="14"/>
      <c r="AA45" s="14"/>
      <c r="AB45" s="15"/>
      <c r="AC45" s="33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5"/>
      <c r="AP45" s="23"/>
      <c r="AQ45" s="14"/>
      <c r="AR45" s="14"/>
      <c r="AS45" s="14"/>
      <c r="AT45" s="14"/>
      <c r="AU45" s="14"/>
      <c r="AV45" s="15"/>
      <c r="AW45" s="23"/>
      <c r="AX45" s="14"/>
      <c r="AY45" s="14"/>
      <c r="AZ45" s="14"/>
      <c r="BA45" s="14"/>
      <c r="BB45" s="14"/>
      <c r="BC45" s="15"/>
      <c r="BD45" s="23"/>
      <c r="BE45" s="14"/>
      <c r="BF45" s="14"/>
      <c r="BG45" s="14"/>
      <c r="BH45" s="14"/>
      <c r="BI45" s="14"/>
      <c r="BJ45" s="15"/>
    </row>
    <row r="46" spans="7:78" ht="15" customHeight="1" x14ac:dyDescent="0.35">
      <c r="G46" s="3"/>
      <c r="H46" s="3"/>
      <c r="I46" s="3"/>
      <c r="J46" s="3"/>
      <c r="K46" s="3"/>
      <c r="L46" s="3"/>
      <c r="M46" s="3"/>
      <c r="N46" s="3"/>
      <c r="O46" s="16"/>
      <c r="P46" s="18"/>
      <c r="Q46" s="18"/>
      <c r="R46" s="18"/>
      <c r="S46" s="18"/>
      <c r="T46" s="18"/>
      <c r="U46" s="19"/>
      <c r="V46" s="16"/>
      <c r="W46" s="18"/>
      <c r="X46" s="18"/>
      <c r="Y46" s="18"/>
      <c r="Z46" s="18"/>
      <c r="AA46" s="18"/>
      <c r="AB46" s="19"/>
      <c r="AC46" s="16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9"/>
      <c r="AP46" s="16"/>
      <c r="AQ46" s="18"/>
      <c r="AR46" s="18"/>
      <c r="AS46" s="18"/>
      <c r="AT46" s="18"/>
      <c r="AU46" s="18"/>
      <c r="AV46" s="19"/>
      <c r="AW46" s="16"/>
      <c r="AX46" s="17"/>
      <c r="AY46" s="17"/>
      <c r="AZ46" s="17"/>
      <c r="BA46" s="17"/>
      <c r="BB46" s="18"/>
      <c r="BC46" s="19"/>
      <c r="BD46" s="16"/>
      <c r="BE46" s="18"/>
      <c r="BF46" s="18"/>
      <c r="BG46" s="18"/>
      <c r="BH46" s="18"/>
      <c r="BI46" s="18"/>
      <c r="BJ46" s="19"/>
    </row>
    <row r="47" spans="7:78" ht="15" customHeight="1" x14ac:dyDescent="0.35">
      <c r="G47" s="3"/>
      <c r="H47" s="3"/>
      <c r="I47" s="3"/>
      <c r="J47" s="3"/>
      <c r="K47" s="3"/>
      <c r="L47" s="3"/>
      <c r="M47" s="3"/>
      <c r="N47" s="3"/>
      <c r="O47" s="20"/>
      <c r="P47" s="21"/>
      <c r="Q47" s="21"/>
      <c r="R47" s="21"/>
      <c r="S47" s="21"/>
      <c r="T47" s="21"/>
      <c r="U47" s="22"/>
      <c r="V47" s="20"/>
      <c r="W47" s="21"/>
      <c r="X47" s="21"/>
      <c r="Y47" s="21"/>
      <c r="Z47" s="21"/>
      <c r="AA47" s="21"/>
      <c r="AB47" s="22"/>
      <c r="AC47" s="20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2"/>
      <c r="AP47" s="20"/>
      <c r="AQ47" s="21"/>
      <c r="AR47" s="21"/>
      <c r="AS47" s="21"/>
      <c r="AT47" s="21"/>
      <c r="AU47" s="21"/>
      <c r="AV47" s="22"/>
      <c r="AW47" s="20"/>
      <c r="AX47" s="21"/>
      <c r="AY47" s="21"/>
      <c r="AZ47" s="21"/>
      <c r="BA47" s="21"/>
      <c r="BB47" s="21"/>
      <c r="BC47" s="22"/>
      <c r="BD47" s="20"/>
      <c r="BE47" s="21"/>
      <c r="BF47" s="21"/>
      <c r="BG47" s="21"/>
      <c r="BH47" s="21"/>
      <c r="BI47" s="21"/>
      <c r="BJ47" s="22"/>
    </row>
    <row r="48" spans="7:78" ht="15" customHeight="1" x14ac:dyDescent="0.35">
      <c r="O48" s="27"/>
      <c r="P48" s="18"/>
      <c r="Q48" s="18"/>
      <c r="R48" s="18"/>
      <c r="S48" s="18"/>
      <c r="T48" s="18"/>
      <c r="U48" s="18"/>
      <c r="V48" s="27"/>
      <c r="W48" s="18"/>
      <c r="X48" s="18"/>
      <c r="Y48" s="18"/>
      <c r="Z48" s="18"/>
      <c r="AA48" s="18"/>
      <c r="AB48" s="18"/>
      <c r="AC48" s="27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27"/>
      <c r="AQ48" s="18"/>
      <c r="AR48" s="18"/>
      <c r="AS48" s="18"/>
      <c r="AT48" s="18"/>
      <c r="AU48" s="18"/>
      <c r="AV48" s="18"/>
      <c r="AW48" s="27"/>
      <c r="AX48" s="17"/>
      <c r="AY48" s="17"/>
      <c r="AZ48" s="17"/>
      <c r="BA48" s="17"/>
      <c r="BB48" s="18"/>
      <c r="BC48" s="18"/>
      <c r="BD48" s="27"/>
      <c r="BE48" s="18"/>
      <c r="BF48" s="18"/>
      <c r="BG48" s="18"/>
      <c r="BH48" s="18"/>
      <c r="BI48" s="18"/>
      <c r="BJ48" s="18"/>
    </row>
    <row r="49" spans="15:70" ht="15" customHeight="1" x14ac:dyDescent="0.35"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7"/>
      <c r="AX49" s="17"/>
      <c r="AY49" s="17"/>
      <c r="AZ49" s="17"/>
      <c r="BA49" s="17"/>
      <c r="BB49" s="18"/>
      <c r="BC49" s="18"/>
      <c r="BD49" s="18"/>
      <c r="BE49" s="18"/>
      <c r="BF49" s="18"/>
      <c r="BG49" s="18"/>
      <c r="BH49" s="18"/>
      <c r="BI49" s="18"/>
      <c r="BJ49" s="18"/>
    </row>
    <row r="50" spans="15:70" ht="15" customHeight="1" x14ac:dyDescent="0.35"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7"/>
      <c r="AX50" s="17"/>
      <c r="AY50" s="17"/>
      <c r="AZ50" s="17"/>
      <c r="BA50" s="17"/>
      <c r="BB50" s="18"/>
      <c r="BC50" s="18"/>
      <c r="BD50" s="18"/>
      <c r="BE50" s="18"/>
      <c r="BF50" s="18"/>
      <c r="BG50" s="18"/>
      <c r="BH50" s="18"/>
      <c r="BI50" s="18"/>
      <c r="BJ50" s="18"/>
    </row>
    <row r="52" spans="15:70" ht="15" customHeight="1" x14ac:dyDescent="0.35">
      <c r="BH52" s="7"/>
      <c r="BI52" s="7"/>
      <c r="BJ52" s="7"/>
      <c r="BK52" s="7"/>
      <c r="BL52" s="7"/>
      <c r="BM52" s="8"/>
      <c r="BN52" s="8"/>
      <c r="BO52" s="8"/>
      <c r="BP52" s="8"/>
      <c r="BQ52" s="8"/>
      <c r="BR52" s="8"/>
    </row>
    <row r="54" spans="15:70" ht="15" customHeight="1" x14ac:dyDescent="0.35"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10"/>
      <c r="AQ54" s="10"/>
      <c r="AR54" s="10"/>
      <c r="AW54" s="2"/>
      <c r="AX54" s="2"/>
      <c r="AY54" s="2"/>
      <c r="AZ54" s="2"/>
      <c r="BA54" s="2"/>
    </row>
  </sheetData>
  <mergeCells count="54">
    <mergeCell ref="Z3:BB4"/>
    <mergeCell ref="BO6:BZ6"/>
    <mergeCell ref="BD48:BJ50"/>
    <mergeCell ref="V39:AB41"/>
    <mergeCell ref="AT21:BG23"/>
    <mergeCell ref="BD39:BJ41"/>
    <mergeCell ref="A6:M6"/>
    <mergeCell ref="V48:AB50"/>
    <mergeCell ref="BC1:BN1"/>
    <mergeCell ref="O39:U41"/>
    <mergeCell ref="AW39:BC41"/>
    <mergeCell ref="AW48:BC50"/>
    <mergeCell ref="AP39:AV41"/>
    <mergeCell ref="R27:AE29"/>
    <mergeCell ref="O45:U47"/>
    <mergeCell ref="A1:M5"/>
    <mergeCell ref="BD42:BJ44"/>
    <mergeCell ref="AC42:AO44"/>
    <mergeCell ref="BC6:BN6"/>
    <mergeCell ref="AF21:AS23"/>
    <mergeCell ref="BC2:BN2"/>
    <mergeCell ref="AC39:AO41"/>
    <mergeCell ref="AP48:AV50"/>
    <mergeCell ref="O42:U44"/>
    <mergeCell ref="AF27:AS29"/>
    <mergeCell ref="BC3:BN3"/>
    <mergeCell ref="AT27:BG29"/>
    <mergeCell ref="BD45:BJ47"/>
    <mergeCell ref="AC45:AO47"/>
    <mergeCell ref="O48:U50"/>
    <mergeCell ref="Z5:BB6"/>
    <mergeCell ref="AF24:AS26"/>
    <mergeCell ref="BC5:BN5"/>
    <mergeCell ref="N1:Y5"/>
    <mergeCell ref="AC48:AO50"/>
    <mergeCell ref="AT24:BG26"/>
    <mergeCell ref="R24:AE26"/>
    <mergeCell ref="BK36:BZ36"/>
    <mergeCell ref="AW42:BC44"/>
    <mergeCell ref="V45:AB47"/>
    <mergeCell ref="BO2:BZ2"/>
    <mergeCell ref="AP45:AV47"/>
    <mergeCell ref="AW45:BC47"/>
    <mergeCell ref="BO3:BZ3"/>
    <mergeCell ref="BO5:BZ5"/>
    <mergeCell ref="V42:AB44"/>
    <mergeCell ref="Z1:BB2"/>
    <mergeCell ref="BC4:BN4"/>
    <mergeCell ref="N6:Y6"/>
    <mergeCell ref="R21:AE23"/>
    <mergeCell ref="AP42:AV44"/>
    <mergeCell ref="BO1:BZ1"/>
    <mergeCell ref="BO4:BZ4"/>
    <mergeCell ref="BP43:BV43"/>
  </mergeCells>
  <printOptions horizontalCentered="1" verticalCentered="1"/>
  <pageMargins left="0.19685039370078741" right="0.19685039370078741" top="0.39370078740157483" bottom="0.39370078740157483" header="3.937007874015748E-2" footer="3.937007874015748E-2"/>
  <pageSetup scale="5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48"/>
  <sheetViews>
    <sheetView tabSelected="1" view="pageBreakPreview" topLeftCell="A112" zoomScale="60" zoomScaleNormal="70" workbookViewId="0">
      <selection activeCell="CB23" sqref="CB23"/>
    </sheetView>
  </sheetViews>
  <sheetFormatPr baseColWidth="10" defaultColWidth="9.23046875" defaultRowHeight="15.45" x14ac:dyDescent="0.4"/>
  <cols>
    <col min="1" max="1" width="36.3828125" style="50" customWidth="1"/>
    <col min="2" max="2" width="33.15234375" style="50" customWidth="1"/>
    <col min="3" max="3" width="61.921875" style="50" customWidth="1"/>
    <col min="4" max="4" width="20.07421875" style="50" customWidth="1"/>
    <col min="5" max="6" width="40.61328125" style="50" customWidth="1"/>
    <col min="7" max="16384" width="9.23046875" style="50"/>
  </cols>
  <sheetData>
    <row r="1" spans="1:6" x14ac:dyDescent="0.4">
      <c r="A1" s="47"/>
      <c r="B1" s="48"/>
      <c r="C1" s="71" t="str">
        <f>PORTADA!Z1</f>
        <v>DISEÑO DE INGENIERÍA</v>
      </c>
      <c r="D1" s="49" t="s">
        <v>1</v>
      </c>
      <c r="E1" s="75" t="str">
        <f>PORTADA!BO1</f>
        <v>P2437-HV-CAL-001</v>
      </c>
      <c r="F1" s="76"/>
    </row>
    <row r="2" spans="1:6" x14ac:dyDescent="0.4">
      <c r="A2" s="51"/>
      <c r="B2" s="51"/>
      <c r="C2" s="68" t="str">
        <f>PORTADA!Z3</f>
        <v>SISTEMA HVAC LABORATORIO BRINSA</v>
      </c>
      <c r="D2" s="49" t="s">
        <v>5</v>
      </c>
      <c r="E2" s="75" t="str">
        <f>PORTADA!BO2</f>
        <v>CERO (0)</v>
      </c>
      <c r="F2" s="76"/>
    </row>
    <row r="3" spans="1:6" x14ac:dyDescent="0.4">
      <c r="A3" s="51"/>
      <c r="B3" s="51"/>
      <c r="C3" s="70"/>
      <c r="D3" s="49" t="s">
        <v>10</v>
      </c>
      <c r="E3" s="75" t="str">
        <f>PORTADA!BO3</f>
        <v>JULIO 23 DEL 2026</v>
      </c>
      <c r="F3" s="76"/>
    </row>
    <row r="4" spans="1:6" x14ac:dyDescent="0.4">
      <c r="A4" s="51"/>
      <c r="B4" s="51"/>
      <c r="C4" s="68" t="str">
        <f>PORTADA!Z5</f>
        <v>MEMORIA DE CÁLCULO DEL SISTEMA DE VENTILACIÓN Y PRESURIZACIÓN DEL LABORATORIO</v>
      </c>
      <c r="D4" s="49" t="s">
        <v>11</v>
      </c>
      <c r="E4" s="75" t="str">
        <f>PORTADA!BO4</f>
        <v>J.ARBOLEDA</v>
      </c>
      <c r="F4" s="76"/>
    </row>
    <row r="5" spans="1:6" x14ac:dyDescent="0.4">
      <c r="A5" s="52"/>
      <c r="B5" s="52"/>
      <c r="C5" s="69"/>
      <c r="D5" s="49" t="s">
        <v>30</v>
      </c>
      <c r="E5" s="75" t="str">
        <f>PORTADA!BO5</f>
        <v>F.NAVIA</v>
      </c>
      <c r="F5" s="76"/>
    </row>
    <row r="6" spans="1:6" x14ac:dyDescent="0.4">
      <c r="A6" s="49" t="s">
        <v>31</v>
      </c>
      <c r="B6" s="53" t="str">
        <f>PORTADA!N6</f>
        <v>P2437</v>
      </c>
      <c r="C6" s="70"/>
      <c r="D6" s="49" t="s">
        <v>18</v>
      </c>
      <c r="E6" s="75" t="str">
        <f>PORTADA!BO6</f>
        <v>H.ROSERO</v>
      </c>
      <c r="F6" s="76"/>
    </row>
    <row r="7" spans="1:6" x14ac:dyDescent="0.4">
      <c r="A7" s="54">
        <v>1</v>
      </c>
      <c r="B7" s="54">
        <v>2</v>
      </c>
      <c r="C7" s="54">
        <v>3</v>
      </c>
      <c r="D7" s="54">
        <v>4</v>
      </c>
      <c r="E7" s="54">
        <v>5</v>
      </c>
      <c r="F7" s="54">
        <v>6</v>
      </c>
    </row>
    <row r="8" spans="1:6" ht="17.05" customHeight="1" x14ac:dyDescent="0.4"/>
    <row r="9" spans="1:6" ht="17.05" customHeight="1" x14ac:dyDescent="0.4">
      <c r="A9" s="55" t="s">
        <v>32</v>
      </c>
      <c r="B9" s="56"/>
      <c r="C9" s="56"/>
      <c r="D9" s="56"/>
      <c r="E9" s="56"/>
      <c r="F9" s="56"/>
    </row>
    <row r="10" spans="1:6" ht="17.05" customHeight="1" x14ac:dyDescent="0.4"/>
    <row r="11" spans="1:6" ht="17.05" customHeight="1" x14ac:dyDescent="0.4">
      <c r="A11" s="55" t="s">
        <v>33</v>
      </c>
      <c r="B11" s="56"/>
      <c r="C11" s="56"/>
      <c r="D11" s="56"/>
      <c r="E11" s="56"/>
      <c r="F11" s="56"/>
    </row>
    <row r="12" spans="1:6" ht="17.05" customHeight="1" x14ac:dyDescent="0.4">
      <c r="A12" s="57" t="s">
        <v>34</v>
      </c>
      <c r="B12" s="57" t="s">
        <v>35</v>
      </c>
      <c r="C12" s="57" t="s">
        <v>36</v>
      </c>
      <c r="D12" s="58" t="s">
        <v>37</v>
      </c>
      <c r="E12" s="58"/>
      <c r="F12" s="58"/>
    </row>
    <row r="13" spans="1:6" ht="17.05" customHeight="1" x14ac:dyDescent="0.4">
      <c r="A13" s="59" t="s">
        <v>38</v>
      </c>
      <c r="B13" s="59" t="s">
        <v>39</v>
      </c>
      <c r="C13" s="60" t="s">
        <v>40</v>
      </c>
      <c r="D13" s="61" t="s">
        <v>41</v>
      </c>
      <c r="E13" s="62"/>
      <c r="F13" s="62"/>
    </row>
    <row r="14" spans="1:6" ht="17.05" customHeight="1" x14ac:dyDescent="0.4">
      <c r="A14" s="59" t="s">
        <v>42</v>
      </c>
      <c r="B14" s="59" t="s">
        <v>43</v>
      </c>
      <c r="C14" s="60" t="s">
        <v>40</v>
      </c>
      <c r="D14" s="61" t="s">
        <v>44</v>
      </c>
      <c r="E14" s="62"/>
      <c r="F14" s="62"/>
    </row>
    <row r="15" spans="1:6" ht="17.05" customHeight="1" x14ac:dyDescent="0.4">
      <c r="A15" s="59" t="s">
        <v>45</v>
      </c>
      <c r="B15" s="59" t="s">
        <v>46</v>
      </c>
      <c r="C15" s="60" t="s">
        <v>47</v>
      </c>
      <c r="D15" s="61" t="s">
        <v>48</v>
      </c>
      <c r="E15" s="62"/>
      <c r="F15" s="62"/>
    </row>
    <row r="16" spans="1:6" ht="17.05" customHeight="1" x14ac:dyDescent="0.4">
      <c r="A16" s="59" t="s">
        <v>49</v>
      </c>
      <c r="B16" s="59" t="s">
        <v>50</v>
      </c>
      <c r="C16" s="60" t="s">
        <v>51</v>
      </c>
      <c r="D16" s="61" t="s">
        <v>52</v>
      </c>
      <c r="E16" s="62"/>
      <c r="F16" s="62"/>
    </row>
    <row r="17" spans="1:6" ht="17.05" customHeight="1" x14ac:dyDescent="0.4">
      <c r="A17" s="59" t="s">
        <v>53</v>
      </c>
      <c r="B17" s="59" t="s">
        <v>54</v>
      </c>
      <c r="C17" s="60" t="s">
        <v>40</v>
      </c>
      <c r="D17" s="61" t="s">
        <v>55</v>
      </c>
      <c r="E17" s="62"/>
      <c r="F17" s="62"/>
    </row>
    <row r="18" spans="1:6" ht="17.05" customHeight="1" x14ac:dyDescent="0.4">
      <c r="A18" s="59" t="s">
        <v>56</v>
      </c>
      <c r="B18" s="59" t="s">
        <v>57</v>
      </c>
      <c r="C18" s="60" t="s">
        <v>40</v>
      </c>
      <c r="D18" s="61" t="s">
        <v>58</v>
      </c>
      <c r="E18" s="62"/>
      <c r="F18" s="62"/>
    </row>
    <row r="19" spans="1:6" ht="17.05" customHeight="1" x14ac:dyDescent="0.4"/>
    <row r="20" spans="1:6" ht="17.05" customHeight="1" x14ac:dyDescent="0.4">
      <c r="A20" s="55" t="s">
        <v>59</v>
      </c>
      <c r="B20" s="56"/>
      <c r="C20" s="56"/>
      <c r="D20" s="56"/>
      <c r="E20" s="56"/>
      <c r="F20" s="56"/>
    </row>
    <row r="21" spans="1:6" ht="17.05" customHeight="1" x14ac:dyDescent="0.4">
      <c r="A21" s="63" t="s">
        <v>60</v>
      </c>
      <c r="B21" s="56"/>
      <c r="C21" s="56"/>
      <c r="D21" s="56"/>
      <c r="E21" s="56"/>
      <c r="F21" s="56"/>
    </row>
    <row r="22" spans="1:6" ht="17.05" customHeight="1" x14ac:dyDescent="0.4">
      <c r="A22" s="56"/>
      <c r="B22" s="56"/>
      <c r="C22" s="56"/>
      <c r="D22" s="56"/>
      <c r="E22" s="56"/>
      <c r="F22" s="56"/>
    </row>
    <row r="23" spans="1:6" ht="17.05" customHeight="1" x14ac:dyDescent="0.4">
      <c r="A23" s="56"/>
      <c r="B23" s="56"/>
      <c r="C23" s="56"/>
      <c r="D23" s="56"/>
      <c r="E23" s="56"/>
      <c r="F23" s="56"/>
    </row>
    <row r="24" spans="1:6" ht="17.05" customHeight="1" x14ac:dyDescent="0.4"/>
    <row r="25" spans="1:6" ht="17.05" customHeight="1" x14ac:dyDescent="0.4">
      <c r="A25" s="55" t="s">
        <v>61</v>
      </c>
      <c r="B25" s="56"/>
      <c r="C25" s="56"/>
      <c r="D25" s="56"/>
      <c r="E25" s="56"/>
      <c r="F25" s="56"/>
    </row>
    <row r="26" spans="1:6" ht="17.05" customHeight="1" x14ac:dyDescent="0.4"/>
    <row r="27" spans="1:6" ht="17.05" customHeight="1" x14ac:dyDescent="0.4">
      <c r="A27" s="57" t="s">
        <v>62</v>
      </c>
      <c r="B27" s="57" t="s">
        <v>63</v>
      </c>
      <c r="C27" s="57" t="s">
        <v>35</v>
      </c>
      <c r="D27" s="57" t="s">
        <v>36</v>
      </c>
      <c r="E27" s="58" t="s">
        <v>64</v>
      </c>
      <c r="F27" s="58"/>
    </row>
    <row r="28" spans="1:6" ht="17.05" customHeight="1" x14ac:dyDescent="0.4">
      <c r="A28" s="59" t="s">
        <v>65</v>
      </c>
      <c r="B28" s="60" t="s">
        <v>66</v>
      </c>
      <c r="C28" s="64">
        <v>320</v>
      </c>
      <c r="D28" s="60" t="s">
        <v>47</v>
      </c>
      <c r="E28" s="61" t="s">
        <v>67</v>
      </c>
      <c r="F28" s="62"/>
    </row>
    <row r="29" spans="1:6" ht="17.05" customHeight="1" x14ac:dyDescent="0.4">
      <c r="A29" s="59" t="s">
        <v>68</v>
      </c>
      <c r="B29" s="60" t="s">
        <v>69</v>
      </c>
      <c r="C29" s="64">
        <v>12</v>
      </c>
      <c r="D29" s="60" t="s">
        <v>51</v>
      </c>
      <c r="E29" s="61" t="s">
        <v>70</v>
      </c>
      <c r="F29" s="62"/>
    </row>
    <row r="30" spans="1:6" ht="17.05" customHeight="1" x14ac:dyDescent="0.4">
      <c r="A30" s="59" t="s">
        <v>71</v>
      </c>
      <c r="B30" s="60" t="s">
        <v>72</v>
      </c>
      <c r="C30" s="64">
        <v>190</v>
      </c>
      <c r="D30" s="60" t="s">
        <v>73</v>
      </c>
      <c r="E30" s="61" t="s">
        <v>74</v>
      </c>
      <c r="F30" s="62"/>
    </row>
    <row r="31" spans="1:6" ht="17.05" customHeight="1" x14ac:dyDescent="0.4">
      <c r="A31" s="59" t="s">
        <v>75</v>
      </c>
      <c r="B31" s="60" t="s">
        <v>76</v>
      </c>
      <c r="C31" s="64">
        <v>0.6</v>
      </c>
      <c r="D31" s="60" t="s">
        <v>40</v>
      </c>
      <c r="E31" s="61" t="s">
        <v>77</v>
      </c>
      <c r="F31" s="62"/>
    </row>
    <row r="32" spans="1:6" ht="17.05" customHeight="1" x14ac:dyDescent="0.4">
      <c r="A32" s="59" t="s">
        <v>78</v>
      </c>
      <c r="B32" s="60" t="s">
        <v>79</v>
      </c>
      <c r="C32" s="64">
        <v>8</v>
      </c>
      <c r="D32" s="60" t="s">
        <v>80</v>
      </c>
      <c r="E32" s="61" t="s">
        <v>81</v>
      </c>
      <c r="F32" s="62"/>
    </row>
    <row r="33" spans="1:6" ht="17.05" customHeight="1" x14ac:dyDescent="0.4">
      <c r="A33" s="59" t="s">
        <v>82</v>
      </c>
      <c r="B33" s="60" t="s">
        <v>83</v>
      </c>
      <c r="C33" s="64">
        <v>3</v>
      </c>
      <c r="D33" s="60" t="s">
        <v>80</v>
      </c>
      <c r="E33" s="61" t="s">
        <v>84</v>
      </c>
      <c r="F33" s="62"/>
    </row>
    <row r="34" spans="1:6" ht="17.05" customHeight="1" x14ac:dyDescent="0.4">
      <c r="A34" s="59" t="s">
        <v>85</v>
      </c>
      <c r="B34" s="60" t="s">
        <v>86</v>
      </c>
      <c r="C34" s="64">
        <v>3</v>
      </c>
      <c r="D34" s="60" t="s">
        <v>87</v>
      </c>
      <c r="E34" s="61" t="s">
        <v>88</v>
      </c>
      <c r="F34" s="62"/>
    </row>
    <row r="35" spans="1:6" ht="17.05" customHeight="1" x14ac:dyDescent="0.4">
      <c r="A35" s="59" t="s">
        <v>89</v>
      </c>
      <c r="B35" s="60" t="s">
        <v>90</v>
      </c>
      <c r="C35" s="64">
        <v>0.95</v>
      </c>
      <c r="D35" s="60" t="s">
        <v>40</v>
      </c>
      <c r="E35" s="61" t="s">
        <v>91</v>
      </c>
      <c r="F35" s="62"/>
    </row>
    <row r="36" spans="1:6" ht="17.05" customHeight="1" x14ac:dyDescent="0.4">
      <c r="A36" s="59" t="s">
        <v>92</v>
      </c>
      <c r="B36" s="60" t="s">
        <v>93</v>
      </c>
      <c r="C36" s="64">
        <v>0.88</v>
      </c>
      <c r="D36" s="60" t="s">
        <v>94</v>
      </c>
      <c r="E36" s="61" t="s">
        <v>95</v>
      </c>
      <c r="F36" s="62"/>
    </row>
    <row r="37" spans="1:6" ht="17.05" customHeight="1" x14ac:dyDescent="0.4">
      <c r="A37" s="59" t="s">
        <v>96</v>
      </c>
      <c r="B37" s="60" t="s">
        <v>97</v>
      </c>
      <c r="C37" s="64">
        <v>0.6</v>
      </c>
      <c r="D37" s="60" t="s">
        <v>40</v>
      </c>
      <c r="E37" s="61" t="s">
        <v>98</v>
      </c>
      <c r="F37" s="62"/>
    </row>
    <row r="38" spans="1:6" ht="17.05" customHeight="1" x14ac:dyDescent="0.4">
      <c r="A38" s="59" t="s">
        <v>99</v>
      </c>
      <c r="B38" s="60" t="s">
        <v>100</v>
      </c>
      <c r="C38" s="64">
        <v>25</v>
      </c>
      <c r="D38" s="60" t="s">
        <v>73</v>
      </c>
      <c r="E38" s="61" t="s">
        <v>101</v>
      </c>
      <c r="F38" s="62"/>
    </row>
    <row r="39" spans="1:6" ht="17.05" customHeight="1" x14ac:dyDescent="0.4"/>
    <row r="40" spans="1:6" ht="17.05" customHeight="1" x14ac:dyDescent="0.4">
      <c r="A40" s="55" t="s">
        <v>102</v>
      </c>
      <c r="B40" s="56"/>
      <c r="C40" s="56"/>
      <c r="D40" s="56"/>
      <c r="E40" s="56"/>
      <c r="F40" s="56"/>
    </row>
    <row r="41" spans="1:6" ht="17.05" customHeight="1" x14ac:dyDescent="0.4">
      <c r="A41" s="63" t="s">
        <v>103</v>
      </c>
      <c r="B41" s="56"/>
      <c r="C41" s="56"/>
      <c r="D41" s="56"/>
      <c r="E41" s="56"/>
      <c r="F41" s="56"/>
    </row>
    <row r="42" spans="1:6" ht="17.05" customHeight="1" x14ac:dyDescent="0.4">
      <c r="A42" s="63" t="s">
        <v>104</v>
      </c>
      <c r="B42" s="56"/>
      <c r="C42" s="56"/>
      <c r="D42" s="56"/>
      <c r="E42" s="56"/>
      <c r="F42" s="56"/>
    </row>
    <row r="43" spans="1:6" ht="17.05" customHeight="1" x14ac:dyDescent="0.4">
      <c r="A43" s="63" t="s">
        <v>105</v>
      </c>
      <c r="B43" s="56"/>
      <c r="C43" s="56"/>
      <c r="D43" s="56"/>
      <c r="E43" s="56"/>
      <c r="F43" s="56"/>
    </row>
    <row r="44" spans="1:6" ht="17.05" customHeight="1" x14ac:dyDescent="0.4"/>
    <row r="45" spans="1:6" ht="17.05" customHeight="1" x14ac:dyDescent="0.4">
      <c r="A45" s="55" t="s">
        <v>106</v>
      </c>
      <c r="B45" s="56"/>
      <c r="C45" s="56"/>
      <c r="D45" s="56"/>
      <c r="E45" s="56"/>
      <c r="F45" s="56"/>
    </row>
    <row r="46" spans="1:6" ht="17.05" customHeight="1" x14ac:dyDescent="0.4"/>
    <row r="47" spans="1:6" ht="17.05" customHeight="1" x14ac:dyDescent="0.4">
      <c r="A47" s="57" t="s">
        <v>107</v>
      </c>
      <c r="B47" s="57" t="s">
        <v>25</v>
      </c>
      <c r="C47" s="57" t="s">
        <v>108</v>
      </c>
      <c r="D47" s="57" t="s">
        <v>109</v>
      </c>
      <c r="E47" s="57" t="s">
        <v>36</v>
      </c>
      <c r="F47" s="57" t="s">
        <v>110</v>
      </c>
    </row>
    <row r="48" spans="1:6" ht="17.05" customHeight="1" x14ac:dyDescent="0.4">
      <c r="A48" s="60" t="s">
        <v>111</v>
      </c>
      <c r="B48" s="59" t="s">
        <v>112</v>
      </c>
      <c r="C48" s="59" t="s">
        <v>113</v>
      </c>
      <c r="D48" s="73">
        <f>C28*C29/60</f>
        <v>64</v>
      </c>
      <c r="E48" s="60" t="s">
        <v>114</v>
      </c>
      <c r="F48" s="72">
        <f t="shared" ref="F48:F65" si="0">D48</f>
        <v>64</v>
      </c>
    </row>
    <row r="49" spans="1:6" ht="17.05" customHeight="1" x14ac:dyDescent="0.4">
      <c r="A49" s="60" t="s">
        <v>115</v>
      </c>
      <c r="B49" s="59" t="s">
        <v>116</v>
      </c>
      <c r="C49" s="59" t="s">
        <v>117</v>
      </c>
      <c r="D49" s="73">
        <f>D48*60</f>
        <v>3840</v>
      </c>
      <c r="E49" s="60" t="s">
        <v>118</v>
      </c>
      <c r="F49" s="72">
        <f t="shared" si="0"/>
        <v>3840</v>
      </c>
    </row>
    <row r="50" spans="1:6" ht="17.05" customHeight="1" x14ac:dyDescent="0.4">
      <c r="A50" s="60" t="s">
        <v>119</v>
      </c>
      <c r="B50" s="59" t="s">
        <v>120</v>
      </c>
      <c r="C50" s="59" t="s">
        <v>121</v>
      </c>
      <c r="D50" s="73">
        <f>D48*35.3147</f>
        <v>2260.1408000000001</v>
      </c>
      <c r="E50" s="60" t="s">
        <v>122</v>
      </c>
      <c r="F50" s="72">
        <f t="shared" si="0"/>
        <v>2260.1408000000001</v>
      </c>
    </row>
    <row r="51" spans="1:6" ht="17.05" customHeight="1" x14ac:dyDescent="0.4">
      <c r="A51" s="60" t="s">
        <v>123</v>
      </c>
      <c r="B51" s="59" t="s">
        <v>124</v>
      </c>
      <c r="C51" s="59" t="s">
        <v>125</v>
      </c>
      <c r="D51" s="73">
        <f>D48/60</f>
        <v>1.0666666666666667</v>
      </c>
      <c r="E51" s="60" t="s">
        <v>126</v>
      </c>
      <c r="F51" s="72">
        <f t="shared" si="0"/>
        <v>1.0666666666666667</v>
      </c>
    </row>
    <row r="52" spans="1:6" ht="17.05" customHeight="1" x14ac:dyDescent="0.4">
      <c r="A52" s="60" t="s">
        <v>127</v>
      </c>
      <c r="B52" s="59" t="s">
        <v>128</v>
      </c>
      <c r="C52" s="59" t="s">
        <v>129</v>
      </c>
      <c r="D52" s="73">
        <f>D51*C30/(C31*1000)</f>
        <v>0.33777777777777779</v>
      </c>
      <c r="E52" s="60" t="s">
        <v>130</v>
      </c>
      <c r="F52" s="72">
        <f t="shared" si="0"/>
        <v>0.33777777777777779</v>
      </c>
    </row>
    <row r="53" spans="1:6" ht="17.05" customHeight="1" x14ac:dyDescent="0.4">
      <c r="A53" s="60" t="s">
        <v>131</v>
      </c>
      <c r="B53" s="59" t="s">
        <v>132</v>
      </c>
      <c r="C53" s="59" t="s">
        <v>133</v>
      </c>
      <c r="D53" s="73">
        <f>D52*1.341</f>
        <v>0.45296000000000003</v>
      </c>
      <c r="E53" s="60" t="s">
        <v>134</v>
      </c>
      <c r="F53" s="72">
        <f t="shared" si="0"/>
        <v>0.45296000000000003</v>
      </c>
    </row>
    <row r="54" spans="1:6" ht="17.05" customHeight="1" x14ac:dyDescent="0.4">
      <c r="A54" s="60" t="s">
        <v>135</v>
      </c>
      <c r="B54" s="59" t="s">
        <v>136</v>
      </c>
      <c r="C54" s="59" t="s">
        <v>137</v>
      </c>
      <c r="D54" s="73">
        <f>D51/C32</f>
        <v>0.13333333333333333</v>
      </c>
      <c r="E54" s="60" t="s">
        <v>138</v>
      </c>
      <c r="F54" s="72">
        <f t="shared" si="0"/>
        <v>0.13333333333333333</v>
      </c>
    </row>
    <row r="55" spans="1:6" ht="17.05" customHeight="1" x14ac:dyDescent="0.4">
      <c r="A55" s="60" t="s">
        <v>139</v>
      </c>
      <c r="B55" s="59" t="s">
        <v>140</v>
      </c>
      <c r="C55" s="59" t="s">
        <v>141</v>
      </c>
      <c r="D55" s="73">
        <f>SQRT(4*D54/PI())</f>
        <v>0.41202581549140221</v>
      </c>
      <c r="E55" s="60" t="s">
        <v>142</v>
      </c>
      <c r="F55" s="72">
        <f t="shared" si="0"/>
        <v>0.41202581549140221</v>
      </c>
    </row>
    <row r="56" spans="1:6" ht="17.05" customHeight="1" x14ac:dyDescent="0.4">
      <c r="A56" s="60" t="s">
        <v>143</v>
      </c>
      <c r="B56" s="59" t="s">
        <v>144</v>
      </c>
      <c r="C56" s="59" t="s">
        <v>145</v>
      </c>
      <c r="D56" s="73">
        <f>D55/2</f>
        <v>0.20601290774570111</v>
      </c>
      <c r="E56" s="60" t="s">
        <v>142</v>
      </c>
      <c r="F56" s="72">
        <f t="shared" si="0"/>
        <v>0.20601290774570111</v>
      </c>
    </row>
    <row r="57" spans="1:6" ht="17.05" customHeight="1" x14ac:dyDescent="0.4">
      <c r="A57" s="60" t="s">
        <v>146</v>
      </c>
      <c r="B57" s="59" t="s">
        <v>147</v>
      </c>
      <c r="C57" s="59" t="s">
        <v>148</v>
      </c>
      <c r="D57" s="73">
        <f>D56*1000</f>
        <v>206.01290774570111</v>
      </c>
      <c r="E57" s="60" t="s">
        <v>149</v>
      </c>
      <c r="F57" s="72">
        <f t="shared" si="0"/>
        <v>206.01290774570111</v>
      </c>
    </row>
    <row r="58" spans="1:6" ht="17.05" customHeight="1" x14ac:dyDescent="0.4">
      <c r="A58" s="60" t="s">
        <v>150</v>
      </c>
      <c r="B58" s="59" t="s">
        <v>151</v>
      </c>
      <c r="C58" s="59" t="s">
        <v>152</v>
      </c>
      <c r="D58" s="73">
        <f>D51/C33</f>
        <v>0.35555555555555557</v>
      </c>
      <c r="E58" s="60" t="s">
        <v>138</v>
      </c>
      <c r="F58" s="72">
        <f t="shared" si="0"/>
        <v>0.35555555555555557</v>
      </c>
    </row>
    <row r="59" spans="1:6" ht="17.05" customHeight="1" x14ac:dyDescent="0.4">
      <c r="A59" s="60" t="s">
        <v>50</v>
      </c>
      <c r="B59" s="59" t="s">
        <v>153</v>
      </c>
      <c r="C59" s="59" t="s">
        <v>154</v>
      </c>
      <c r="D59" s="73">
        <f>D58/C34</f>
        <v>0.11851851851851852</v>
      </c>
      <c r="E59" s="60" t="s">
        <v>138</v>
      </c>
      <c r="F59" s="72">
        <f t="shared" si="0"/>
        <v>0.11851851851851852</v>
      </c>
    </row>
    <row r="60" spans="1:6" ht="17.05" customHeight="1" x14ac:dyDescent="0.4">
      <c r="A60" s="60" t="s">
        <v>155</v>
      </c>
      <c r="B60" s="59" t="s">
        <v>156</v>
      </c>
      <c r="C60" s="59" t="s">
        <v>157</v>
      </c>
      <c r="D60" s="73">
        <f>SQRT(D59/C35)</f>
        <v>0.35320862855067836</v>
      </c>
      <c r="E60" s="60" t="s">
        <v>142</v>
      </c>
      <c r="F60" s="72">
        <f t="shared" si="0"/>
        <v>0.35320862855067836</v>
      </c>
    </row>
    <row r="61" spans="1:6" ht="17.05" customHeight="1" x14ac:dyDescent="0.4">
      <c r="A61" s="60" t="s">
        <v>158</v>
      </c>
      <c r="B61" s="59" t="s">
        <v>159</v>
      </c>
      <c r="C61" s="59" t="s">
        <v>160</v>
      </c>
      <c r="D61" s="73">
        <f>D59/D60</f>
        <v>0.33554819712314443</v>
      </c>
      <c r="E61" s="60" t="s">
        <v>142</v>
      </c>
      <c r="F61" s="72">
        <f t="shared" si="0"/>
        <v>0.33554819712314443</v>
      </c>
    </row>
    <row r="62" spans="1:6" ht="17.05" customHeight="1" x14ac:dyDescent="0.4">
      <c r="A62" s="60" t="s">
        <v>161</v>
      </c>
      <c r="B62" s="59" t="s">
        <v>162</v>
      </c>
      <c r="C62" s="59" t="s">
        <v>163</v>
      </c>
      <c r="D62" s="73">
        <f>D60*1000</f>
        <v>353.20862855067838</v>
      </c>
      <c r="E62" s="60" t="s">
        <v>149</v>
      </c>
      <c r="F62" s="72">
        <f t="shared" si="0"/>
        <v>353.20862855067838</v>
      </c>
    </row>
    <row r="63" spans="1:6" ht="17.05" customHeight="1" x14ac:dyDescent="0.4">
      <c r="A63" s="60" t="s">
        <v>164</v>
      </c>
      <c r="B63" s="59" t="s">
        <v>165</v>
      </c>
      <c r="C63" s="59" t="s">
        <v>166</v>
      </c>
      <c r="D63" s="73">
        <f>D61*1000</f>
        <v>335.5481971231444</v>
      </c>
      <c r="E63" s="60" t="s">
        <v>149</v>
      </c>
      <c r="F63" s="72">
        <f t="shared" si="0"/>
        <v>335.5481971231444</v>
      </c>
    </row>
    <row r="64" spans="1:6" ht="17.05" customHeight="1" x14ac:dyDescent="0.4">
      <c r="A64" s="60" t="s">
        <v>167</v>
      </c>
      <c r="B64" s="59" t="s">
        <v>168</v>
      </c>
      <c r="C64" s="59" t="s">
        <v>169</v>
      </c>
      <c r="D64" s="73">
        <f>C36/2*(D51/(C37*D58))^2</f>
        <v>11</v>
      </c>
      <c r="E64" s="60" t="s">
        <v>73</v>
      </c>
      <c r="F64" s="72">
        <f t="shared" si="0"/>
        <v>11</v>
      </c>
    </row>
    <row r="65" spans="1:6" ht="17.05" customHeight="1" x14ac:dyDescent="0.4">
      <c r="A65" s="60" t="s">
        <v>170</v>
      </c>
      <c r="B65" s="59" t="s">
        <v>171</v>
      </c>
      <c r="C65" s="59" t="s">
        <v>172</v>
      </c>
      <c r="D65" s="73">
        <f>D51/(C37*SQRT(2*25/C36))</f>
        <v>0.23584887398082846</v>
      </c>
      <c r="E65" s="60" t="s">
        <v>138</v>
      </c>
      <c r="F65" s="72">
        <f t="shared" si="0"/>
        <v>0.23584887398082846</v>
      </c>
    </row>
    <row r="66" spans="1:6" ht="17.05" customHeight="1" x14ac:dyDescent="0.4"/>
    <row r="67" spans="1:6" ht="17.05" customHeight="1" x14ac:dyDescent="0.4">
      <c r="A67" s="55" t="s">
        <v>173</v>
      </c>
      <c r="B67" s="56"/>
      <c r="C67" s="56"/>
      <c r="D67" s="56"/>
      <c r="E67" s="56"/>
      <c r="F67" s="56"/>
    </row>
    <row r="68" spans="1:6" ht="17.05" customHeight="1" x14ac:dyDescent="0.4"/>
    <row r="69" spans="1:6" ht="17.05" customHeight="1" x14ac:dyDescent="0.4">
      <c r="A69" s="57" t="s">
        <v>62</v>
      </c>
      <c r="B69" s="57" t="s">
        <v>35</v>
      </c>
      <c r="C69" s="57" t="s">
        <v>36</v>
      </c>
      <c r="D69" s="58" t="s">
        <v>37</v>
      </c>
      <c r="E69" s="58"/>
      <c r="F69" s="58"/>
    </row>
    <row r="70" spans="1:6" ht="17.05" customHeight="1" x14ac:dyDescent="0.4">
      <c r="A70" s="59" t="s">
        <v>174</v>
      </c>
      <c r="B70" s="74">
        <f>D48</f>
        <v>64</v>
      </c>
      <c r="C70" s="60" t="s">
        <v>114</v>
      </c>
      <c r="D70" s="61" t="s">
        <v>175</v>
      </c>
      <c r="E70" s="62"/>
      <c r="F70" s="62"/>
    </row>
    <row r="71" spans="1:6" ht="17.05" customHeight="1" x14ac:dyDescent="0.4">
      <c r="A71" s="59" t="s">
        <v>174</v>
      </c>
      <c r="B71" s="74">
        <f>D49</f>
        <v>3840</v>
      </c>
      <c r="C71" s="60" t="s">
        <v>118</v>
      </c>
      <c r="D71" s="61" t="s">
        <v>176</v>
      </c>
      <c r="E71" s="62"/>
      <c r="F71" s="62"/>
    </row>
    <row r="72" spans="1:6" ht="17.05" customHeight="1" x14ac:dyDescent="0.4">
      <c r="A72" s="59" t="s">
        <v>174</v>
      </c>
      <c r="B72" s="74">
        <f>D50</f>
        <v>2260.1408000000001</v>
      </c>
      <c r="C72" s="60" t="s">
        <v>122</v>
      </c>
      <c r="D72" s="61" t="s">
        <v>177</v>
      </c>
      <c r="E72" s="62"/>
      <c r="F72" s="62"/>
    </row>
    <row r="73" spans="1:6" ht="17.05" customHeight="1" x14ac:dyDescent="0.4">
      <c r="A73" s="59" t="s">
        <v>128</v>
      </c>
      <c r="B73" s="74">
        <f>D52</f>
        <v>0.33777777777777779</v>
      </c>
      <c r="C73" s="60" t="s">
        <v>130</v>
      </c>
      <c r="D73" s="61" t="s">
        <v>178</v>
      </c>
      <c r="E73" s="62"/>
      <c r="F73" s="62"/>
    </row>
    <row r="74" spans="1:6" ht="17.05" customHeight="1" x14ac:dyDescent="0.4">
      <c r="A74" s="59" t="s">
        <v>128</v>
      </c>
      <c r="B74" s="74">
        <f>D53</f>
        <v>0.45296000000000003</v>
      </c>
      <c r="C74" s="60" t="s">
        <v>134</v>
      </c>
      <c r="D74" s="61" t="s">
        <v>179</v>
      </c>
      <c r="E74" s="62"/>
      <c r="F74" s="62"/>
    </row>
    <row r="75" spans="1:6" ht="17.05" customHeight="1" x14ac:dyDescent="0.4">
      <c r="A75" s="59" t="s">
        <v>180</v>
      </c>
      <c r="B75" s="74">
        <f>ROUNDUP(D53,0)</f>
        <v>1</v>
      </c>
      <c r="C75" s="60" t="s">
        <v>134</v>
      </c>
      <c r="D75" s="61" t="s">
        <v>181</v>
      </c>
      <c r="E75" s="62"/>
      <c r="F75" s="62"/>
    </row>
    <row r="76" spans="1:6" ht="17.05" customHeight="1" x14ac:dyDescent="0.4">
      <c r="A76" s="59" t="s">
        <v>136</v>
      </c>
      <c r="B76" s="74">
        <f>D54</f>
        <v>0.13333333333333333</v>
      </c>
      <c r="C76" s="60" t="s">
        <v>138</v>
      </c>
      <c r="D76" s="61" t="s">
        <v>182</v>
      </c>
      <c r="E76" s="62"/>
      <c r="F76" s="62"/>
    </row>
    <row r="77" spans="1:6" ht="17.05" customHeight="1" x14ac:dyDescent="0.4">
      <c r="A77" s="59" t="s">
        <v>140</v>
      </c>
      <c r="B77" s="74">
        <f>D55</f>
        <v>0.41202581549140221</v>
      </c>
      <c r="C77" s="60" t="s">
        <v>142</v>
      </c>
      <c r="D77" s="61" t="s">
        <v>183</v>
      </c>
      <c r="E77" s="62"/>
      <c r="F77" s="62"/>
    </row>
    <row r="78" spans="1:6" ht="17.05" customHeight="1" x14ac:dyDescent="0.4">
      <c r="A78" s="59" t="s">
        <v>184</v>
      </c>
      <c r="B78" s="74">
        <f>D57</f>
        <v>206.01290774570111</v>
      </c>
      <c r="C78" s="60" t="s">
        <v>149</v>
      </c>
      <c r="D78" s="61" t="s">
        <v>185</v>
      </c>
      <c r="E78" s="62"/>
      <c r="F78" s="62"/>
    </row>
    <row r="79" spans="1:6" ht="17.05" customHeight="1" x14ac:dyDescent="0.4">
      <c r="A79" s="59" t="s">
        <v>186</v>
      </c>
      <c r="B79" s="74">
        <f>C32</f>
        <v>8</v>
      </c>
      <c r="C79" s="60" t="s">
        <v>80</v>
      </c>
      <c r="D79" s="61" t="s">
        <v>187</v>
      </c>
      <c r="E79" s="62"/>
      <c r="F79" s="62"/>
    </row>
    <row r="80" spans="1:6" ht="17.05" customHeight="1" x14ac:dyDescent="0.4">
      <c r="A80" s="59" t="s">
        <v>151</v>
      </c>
      <c r="B80" s="74">
        <f>D58</f>
        <v>0.35555555555555557</v>
      </c>
      <c r="C80" s="60" t="s">
        <v>138</v>
      </c>
      <c r="D80" s="61" t="s">
        <v>188</v>
      </c>
      <c r="E80" s="62"/>
      <c r="F80" s="62"/>
    </row>
    <row r="81" spans="1:6" ht="17.05" customHeight="1" x14ac:dyDescent="0.4">
      <c r="A81" s="59" t="s">
        <v>85</v>
      </c>
      <c r="B81" s="74">
        <f>C34</f>
        <v>3</v>
      </c>
      <c r="C81" s="60" t="s">
        <v>87</v>
      </c>
      <c r="D81" s="61" t="s">
        <v>88</v>
      </c>
      <c r="E81" s="62"/>
      <c r="F81" s="62"/>
    </row>
    <row r="82" spans="1:6" ht="17.05" customHeight="1" x14ac:dyDescent="0.4">
      <c r="A82" s="59" t="s">
        <v>153</v>
      </c>
      <c r="B82" s="74">
        <f>D59</f>
        <v>0.11851851851851852</v>
      </c>
      <c r="C82" s="60" t="s">
        <v>138</v>
      </c>
      <c r="D82" s="61" t="s">
        <v>189</v>
      </c>
      <c r="E82" s="62"/>
      <c r="F82" s="62"/>
    </row>
    <row r="83" spans="1:6" ht="17.05" customHeight="1" x14ac:dyDescent="0.4">
      <c r="A83" s="59" t="s">
        <v>190</v>
      </c>
      <c r="B83" s="74">
        <f>D62</f>
        <v>353.20862855067838</v>
      </c>
      <c r="C83" s="60" t="s">
        <v>149</v>
      </c>
      <c r="D83" s="61" t="s">
        <v>191</v>
      </c>
      <c r="E83" s="62"/>
      <c r="F83" s="62"/>
    </row>
    <row r="84" spans="1:6" ht="17.05" customHeight="1" x14ac:dyDescent="0.4">
      <c r="A84" s="59" t="s">
        <v>192</v>
      </c>
      <c r="B84" s="74">
        <f>D63</f>
        <v>335.5481971231444</v>
      </c>
      <c r="C84" s="60" t="s">
        <v>149</v>
      </c>
      <c r="D84" s="61" t="s">
        <v>191</v>
      </c>
      <c r="E84" s="62"/>
      <c r="F84" s="62"/>
    </row>
    <row r="85" spans="1:6" ht="17.05" customHeight="1" x14ac:dyDescent="0.4">
      <c r="A85" s="59" t="s">
        <v>193</v>
      </c>
      <c r="B85" s="74">
        <f>C33</f>
        <v>3</v>
      </c>
      <c r="C85" s="60" t="s">
        <v>80</v>
      </c>
      <c r="D85" s="61" t="s">
        <v>194</v>
      </c>
      <c r="E85" s="62"/>
      <c r="F85" s="62"/>
    </row>
    <row r="86" spans="1:6" ht="17.05" customHeight="1" x14ac:dyDescent="0.4">
      <c r="A86" s="59" t="s">
        <v>195</v>
      </c>
      <c r="B86" s="74">
        <f>D64</f>
        <v>11</v>
      </c>
      <c r="C86" s="60" t="s">
        <v>73</v>
      </c>
      <c r="D86" s="61" t="s">
        <v>196</v>
      </c>
      <c r="E86" s="62"/>
      <c r="F86" s="62"/>
    </row>
    <row r="87" spans="1:6" ht="17.05" customHeight="1" x14ac:dyDescent="0.4">
      <c r="A87" s="59" t="s">
        <v>197</v>
      </c>
      <c r="B87" s="74">
        <v>25</v>
      </c>
      <c r="C87" s="60" t="s">
        <v>73</v>
      </c>
      <c r="D87" s="61" t="s">
        <v>198</v>
      </c>
      <c r="E87" s="62"/>
      <c r="F87" s="62"/>
    </row>
    <row r="88" spans="1:6" ht="17.05" customHeight="1" x14ac:dyDescent="0.4"/>
    <row r="89" spans="1:6" ht="17.05" customHeight="1" x14ac:dyDescent="0.4">
      <c r="A89" s="55" t="s">
        <v>199</v>
      </c>
      <c r="B89" s="56"/>
      <c r="C89" s="56"/>
      <c r="D89" s="56"/>
      <c r="E89" s="56"/>
      <c r="F89" s="56"/>
    </row>
    <row r="90" spans="1:6" ht="17.05" customHeight="1" x14ac:dyDescent="0.4"/>
    <row r="91" spans="1:6" ht="17.05" customHeight="1" x14ac:dyDescent="0.4">
      <c r="A91" s="57" t="s">
        <v>200</v>
      </c>
      <c r="B91" s="57" t="s">
        <v>201</v>
      </c>
      <c r="C91" s="57" t="s">
        <v>202</v>
      </c>
      <c r="D91" s="58" t="s">
        <v>37</v>
      </c>
      <c r="E91" s="58"/>
      <c r="F91" s="58"/>
    </row>
    <row r="92" spans="1:6" ht="35.25" customHeight="1" x14ac:dyDescent="0.4">
      <c r="A92" s="59" t="s">
        <v>203</v>
      </c>
      <c r="B92" s="60" t="s">
        <v>204</v>
      </c>
      <c r="C92" s="60" t="s">
        <v>205</v>
      </c>
      <c r="D92" s="61" t="s">
        <v>206</v>
      </c>
      <c r="E92" s="62"/>
      <c r="F92" s="62"/>
    </row>
    <row r="93" spans="1:6" ht="35.25" customHeight="1" x14ac:dyDescent="0.4">
      <c r="A93" s="59" t="s">
        <v>207</v>
      </c>
      <c r="B93" s="60" t="s">
        <v>208</v>
      </c>
      <c r="C93" s="60" t="s">
        <v>209</v>
      </c>
      <c r="D93" s="61" t="s">
        <v>210</v>
      </c>
      <c r="E93" s="62"/>
      <c r="F93" s="62"/>
    </row>
    <row r="94" spans="1:6" ht="35.25" customHeight="1" x14ac:dyDescent="0.4">
      <c r="A94" s="59" t="s">
        <v>211</v>
      </c>
      <c r="B94" s="60" t="s">
        <v>212</v>
      </c>
      <c r="C94" s="60" t="s">
        <v>213</v>
      </c>
      <c r="D94" s="61" t="s">
        <v>214</v>
      </c>
      <c r="E94" s="62"/>
      <c r="F94" s="62"/>
    </row>
    <row r="95" spans="1:6" ht="35.25" customHeight="1" x14ac:dyDescent="0.4">
      <c r="A95" s="59" t="s">
        <v>215</v>
      </c>
      <c r="B95" s="60" t="s">
        <v>204</v>
      </c>
      <c r="C95" s="60" t="s">
        <v>216</v>
      </c>
      <c r="D95" s="61" t="s">
        <v>217</v>
      </c>
      <c r="E95" s="62"/>
      <c r="F95" s="62"/>
    </row>
    <row r="96" spans="1:6" ht="35.25" customHeight="1" x14ac:dyDescent="0.4">
      <c r="A96" s="59" t="s">
        <v>218</v>
      </c>
      <c r="B96" s="60" t="s">
        <v>219</v>
      </c>
      <c r="C96" s="60" t="s">
        <v>220</v>
      </c>
      <c r="D96" s="61" t="s">
        <v>221</v>
      </c>
      <c r="E96" s="62"/>
      <c r="F96" s="62"/>
    </row>
    <row r="97" spans="1:6" ht="35.25" customHeight="1" x14ac:dyDescent="0.4">
      <c r="A97" s="59" t="s">
        <v>222</v>
      </c>
      <c r="B97" s="60" t="s">
        <v>219</v>
      </c>
      <c r="C97" s="60" t="s">
        <v>223</v>
      </c>
      <c r="D97" s="61" t="s">
        <v>224</v>
      </c>
      <c r="E97" s="62"/>
      <c r="F97" s="62"/>
    </row>
    <row r="98" spans="1:6" ht="35.25" customHeight="1" x14ac:dyDescent="0.4">
      <c r="A98" s="59" t="s">
        <v>225</v>
      </c>
      <c r="B98" s="60" t="s">
        <v>226</v>
      </c>
      <c r="C98" s="60" t="s">
        <v>227</v>
      </c>
      <c r="D98" s="61" t="s">
        <v>228</v>
      </c>
      <c r="E98" s="62"/>
      <c r="F98" s="62"/>
    </row>
    <row r="99" spans="1:6" ht="35.25" customHeight="1" x14ac:dyDescent="0.4">
      <c r="A99" s="59" t="s">
        <v>229</v>
      </c>
      <c r="B99" s="60" t="s">
        <v>204</v>
      </c>
      <c r="C99" s="60" t="s">
        <v>230</v>
      </c>
      <c r="D99" s="61" t="s">
        <v>231</v>
      </c>
      <c r="E99" s="62"/>
      <c r="F99" s="62"/>
    </row>
    <row r="100" spans="1:6" ht="35.25" customHeight="1" x14ac:dyDescent="0.4">
      <c r="A100" s="59" t="s">
        <v>232</v>
      </c>
      <c r="B100" s="60" t="s">
        <v>233</v>
      </c>
      <c r="C100" s="60" t="s">
        <v>230</v>
      </c>
      <c r="D100" s="61" t="s">
        <v>234</v>
      </c>
      <c r="E100" s="62"/>
      <c r="F100" s="62"/>
    </row>
    <row r="101" spans="1:6" ht="35.25" customHeight="1" x14ac:dyDescent="0.4">
      <c r="A101" s="59" t="s">
        <v>235</v>
      </c>
      <c r="B101" s="60" t="s">
        <v>233</v>
      </c>
      <c r="C101" s="60" t="s">
        <v>230</v>
      </c>
      <c r="D101" s="61" t="s">
        <v>236</v>
      </c>
      <c r="E101" s="62"/>
      <c r="F101" s="62"/>
    </row>
    <row r="102" spans="1:6" ht="35.25" customHeight="1" x14ac:dyDescent="0.4">
      <c r="A102" s="59" t="s">
        <v>237</v>
      </c>
      <c r="B102" s="60" t="s">
        <v>238</v>
      </c>
      <c r="C102" s="60" t="s">
        <v>230</v>
      </c>
      <c r="D102" s="61" t="s">
        <v>239</v>
      </c>
      <c r="E102" s="62"/>
      <c r="F102" s="62"/>
    </row>
    <row r="103" spans="1:6" ht="17.05" customHeight="1" x14ac:dyDescent="0.4"/>
    <row r="104" spans="1:6" ht="17.05" customHeight="1" x14ac:dyDescent="0.4">
      <c r="A104" s="55" t="s">
        <v>240</v>
      </c>
      <c r="B104" s="56"/>
      <c r="C104" s="56"/>
      <c r="D104" s="56"/>
      <c r="E104" s="56"/>
      <c r="F104" s="56"/>
    </row>
    <row r="105" spans="1:6" ht="17.05" customHeight="1" x14ac:dyDescent="0.4">
      <c r="A105" s="63" t="s">
        <v>241</v>
      </c>
      <c r="B105" s="56"/>
      <c r="C105" s="56"/>
      <c r="D105" s="56"/>
      <c r="E105" s="56"/>
      <c r="F105" s="56"/>
    </row>
    <row r="106" spans="1:6" ht="17.05" customHeight="1" x14ac:dyDescent="0.4">
      <c r="A106" s="56"/>
      <c r="B106" s="56"/>
      <c r="C106" s="56"/>
      <c r="D106" s="56"/>
      <c r="E106" s="56"/>
      <c r="F106" s="56"/>
    </row>
    <row r="107" spans="1:6" ht="17.05" customHeight="1" x14ac:dyDescent="0.4">
      <c r="A107" s="56"/>
      <c r="B107" s="56"/>
      <c r="C107" s="56"/>
      <c r="D107" s="56"/>
      <c r="E107" s="56"/>
      <c r="F107" s="56"/>
    </row>
    <row r="108" spans="1:6" ht="17.05" customHeight="1" x14ac:dyDescent="0.4"/>
    <row r="109" spans="1:6" ht="17.05" customHeight="1" x14ac:dyDescent="0.4">
      <c r="A109" s="55" t="s">
        <v>242</v>
      </c>
      <c r="B109" s="56"/>
      <c r="C109" s="56"/>
      <c r="D109" s="56"/>
      <c r="E109" s="56"/>
      <c r="F109" s="56"/>
    </row>
    <row r="110" spans="1:6" ht="17.05" customHeight="1" x14ac:dyDescent="0.4">
      <c r="A110" s="63" t="s">
        <v>243</v>
      </c>
      <c r="B110" s="56"/>
      <c r="C110" s="56"/>
      <c r="D110" s="56"/>
      <c r="E110" s="56"/>
      <c r="F110" s="56"/>
    </row>
    <row r="111" spans="1:6" ht="17.05" customHeight="1" x14ac:dyDescent="0.4"/>
    <row r="112" spans="1:6" ht="17.05" customHeight="1" x14ac:dyDescent="0.4">
      <c r="A112" s="57" t="s">
        <v>244</v>
      </c>
      <c r="B112" s="57" t="s">
        <v>245</v>
      </c>
      <c r="C112" s="57" t="s">
        <v>246</v>
      </c>
      <c r="D112" s="57" t="s">
        <v>247</v>
      </c>
      <c r="E112" s="57" t="s">
        <v>248</v>
      </c>
      <c r="F112" s="57" t="s">
        <v>249</v>
      </c>
    </row>
    <row r="113" spans="1:6" ht="43.3" customHeight="1" x14ac:dyDescent="0.4">
      <c r="A113" s="59" t="s">
        <v>250</v>
      </c>
      <c r="B113" s="66">
        <v>59</v>
      </c>
      <c r="C113" s="66">
        <f>B113+25+11</f>
        <v>95</v>
      </c>
      <c r="D113" s="67">
        <f>D51*C113/(0.6*1000)</f>
        <v>0.16888888888888889</v>
      </c>
      <c r="E113" s="67">
        <f>D113*1.341</f>
        <v>0.22648000000000001</v>
      </c>
      <c r="F113" s="66">
        <f>ROUNDUP(E113,0)</f>
        <v>1</v>
      </c>
    </row>
    <row r="114" spans="1:6" ht="43.3" customHeight="1" x14ac:dyDescent="0.4">
      <c r="A114" s="59" t="s">
        <v>251</v>
      </c>
      <c r="B114" s="66">
        <v>154</v>
      </c>
      <c r="C114" s="66">
        <f>B114+25+11</f>
        <v>190</v>
      </c>
      <c r="D114" s="67">
        <f>D51*C114/(0.6*1000)</f>
        <v>0.33777777777777779</v>
      </c>
      <c r="E114" s="67">
        <f>D114*1.341</f>
        <v>0.45296000000000003</v>
      </c>
      <c r="F114" s="66">
        <f>ROUNDUP(E114,0)</f>
        <v>1</v>
      </c>
    </row>
    <row r="115" spans="1:6" ht="43.3" customHeight="1" x14ac:dyDescent="0.4">
      <c r="A115" s="59" t="s">
        <v>252</v>
      </c>
      <c r="B115" s="66">
        <v>250</v>
      </c>
      <c r="C115" s="66">
        <f>B115+25+11</f>
        <v>286</v>
      </c>
      <c r="D115" s="67">
        <f>D51*C115/(0.6*1000)</f>
        <v>0.50844444444444448</v>
      </c>
      <c r="E115" s="67">
        <f>D115*1.341</f>
        <v>0.68182399999999999</v>
      </c>
      <c r="F115" s="66">
        <f>ROUNDUP(E115,0)</f>
        <v>1</v>
      </c>
    </row>
    <row r="116" spans="1:6" ht="43.3" customHeight="1" x14ac:dyDescent="0.4">
      <c r="A116" s="59" t="s">
        <v>253</v>
      </c>
      <c r="B116" s="66">
        <v>600</v>
      </c>
      <c r="C116" s="66">
        <f>B116+25+11</f>
        <v>636</v>
      </c>
      <c r="D116" s="67">
        <f>D51*C116/(0.6*1000)</f>
        <v>1.1306666666666667</v>
      </c>
      <c r="E116" s="67">
        <f>D116*1.341</f>
        <v>1.516224</v>
      </c>
      <c r="F116" s="66">
        <f>ROUNDUP(E116,0)</f>
        <v>2</v>
      </c>
    </row>
    <row r="117" spans="1:6" ht="17.05" customHeight="1" x14ac:dyDescent="0.4"/>
    <row r="118" spans="1:6" ht="17.05" customHeight="1" x14ac:dyDescent="0.4">
      <c r="A118" s="55" t="s">
        <v>254</v>
      </c>
      <c r="B118" s="56"/>
      <c r="C118" s="56"/>
      <c r="D118" s="56"/>
      <c r="E118" s="56"/>
      <c r="F118" s="56"/>
    </row>
    <row r="119" spans="1:6" ht="17.05" customHeight="1" x14ac:dyDescent="0.4">
      <c r="A119" s="63" t="s">
        <v>255</v>
      </c>
      <c r="B119" s="56"/>
      <c r="C119" s="56"/>
      <c r="D119" s="56"/>
      <c r="E119" s="56"/>
      <c r="F119" s="56"/>
    </row>
    <row r="120" spans="1:6" ht="17.05" customHeight="1" x14ac:dyDescent="0.4">
      <c r="A120" s="56"/>
      <c r="B120" s="56"/>
      <c r="C120" s="56"/>
      <c r="D120" s="56"/>
      <c r="E120" s="56"/>
      <c r="F120" s="56"/>
    </row>
    <row r="121" spans="1:6" ht="17.05" customHeight="1" x14ac:dyDescent="0.4">
      <c r="A121" s="56"/>
      <c r="B121" s="56"/>
      <c r="C121" s="56"/>
      <c r="D121" s="56"/>
      <c r="E121" s="56"/>
      <c r="F121" s="56"/>
    </row>
    <row r="122" spans="1:6" ht="17.05" customHeight="1" x14ac:dyDescent="0.4"/>
    <row r="123" spans="1:6" ht="17.05" customHeight="1" x14ac:dyDescent="0.4">
      <c r="A123" s="55" t="s">
        <v>256</v>
      </c>
      <c r="B123" s="56"/>
      <c r="C123" s="56"/>
      <c r="D123" s="56"/>
      <c r="E123" s="56"/>
      <c r="F123" s="56"/>
    </row>
    <row r="124" spans="1:6" ht="17.05" customHeight="1" x14ac:dyDescent="0.4"/>
    <row r="125" spans="1:6" ht="17.05" customHeight="1" x14ac:dyDescent="0.4">
      <c r="A125" s="57" t="s">
        <v>62</v>
      </c>
      <c r="B125" s="57" t="s">
        <v>35</v>
      </c>
      <c r="C125" s="57" t="s">
        <v>36</v>
      </c>
      <c r="D125" s="58" t="s">
        <v>37</v>
      </c>
      <c r="E125" s="58"/>
      <c r="F125" s="58"/>
    </row>
    <row r="126" spans="1:6" x14ac:dyDescent="0.4">
      <c r="A126" s="59" t="s">
        <v>174</v>
      </c>
      <c r="B126" s="65">
        <f>D48</f>
        <v>64</v>
      </c>
      <c r="C126" s="60" t="s">
        <v>114</v>
      </c>
      <c r="D126" s="61" t="s">
        <v>175</v>
      </c>
      <c r="E126" s="62"/>
      <c r="F126" s="62"/>
    </row>
    <row r="127" spans="1:6" x14ac:dyDescent="0.4">
      <c r="A127" s="59" t="s">
        <v>174</v>
      </c>
      <c r="B127" s="65">
        <f>D49</f>
        <v>3840</v>
      </c>
      <c r="C127" s="60" t="s">
        <v>118</v>
      </c>
      <c r="D127" s="61" t="s">
        <v>176</v>
      </c>
      <c r="E127" s="62"/>
      <c r="F127" s="62"/>
    </row>
    <row r="128" spans="1:6" x14ac:dyDescent="0.4">
      <c r="A128" s="59" t="s">
        <v>174</v>
      </c>
      <c r="B128" s="65">
        <f>D50</f>
        <v>2260.1408000000001</v>
      </c>
      <c r="C128" s="60" t="s">
        <v>122</v>
      </c>
      <c r="D128" s="61" t="s">
        <v>177</v>
      </c>
      <c r="E128" s="62"/>
      <c r="F128" s="62"/>
    </row>
    <row r="129" spans="1:6" x14ac:dyDescent="0.4">
      <c r="A129" s="59" t="s">
        <v>128</v>
      </c>
      <c r="B129" s="65">
        <f>D52</f>
        <v>0.33777777777777779</v>
      </c>
      <c r="C129" s="60" t="s">
        <v>130</v>
      </c>
      <c r="D129" s="61" t="s">
        <v>257</v>
      </c>
      <c r="E129" s="62"/>
      <c r="F129" s="62"/>
    </row>
    <row r="130" spans="1:6" x14ac:dyDescent="0.4">
      <c r="A130" s="59" t="s">
        <v>128</v>
      </c>
      <c r="B130" s="65">
        <f>D53</f>
        <v>0.45296000000000003</v>
      </c>
      <c r="C130" s="60" t="s">
        <v>134</v>
      </c>
      <c r="D130" s="61" t="s">
        <v>179</v>
      </c>
      <c r="E130" s="62"/>
      <c r="F130" s="62"/>
    </row>
    <row r="131" spans="1:6" x14ac:dyDescent="0.4">
      <c r="A131" s="59" t="s">
        <v>180</v>
      </c>
      <c r="B131" s="65">
        <f>ROUNDUP(D53,0)</f>
        <v>1</v>
      </c>
      <c r="C131" s="60" t="s">
        <v>134</v>
      </c>
      <c r="D131" s="61" t="s">
        <v>258</v>
      </c>
      <c r="E131" s="62"/>
      <c r="F131" s="62"/>
    </row>
    <row r="132" spans="1:6" x14ac:dyDescent="0.4">
      <c r="A132" s="59" t="s">
        <v>136</v>
      </c>
      <c r="B132" s="65">
        <f>D54</f>
        <v>0.13333333333333333</v>
      </c>
      <c r="C132" s="60" t="s">
        <v>138</v>
      </c>
      <c r="D132" s="61" t="s">
        <v>182</v>
      </c>
      <c r="E132" s="62"/>
      <c r="F132" s="62"/>
    </row>
    <row r="133" spans="1:6" x14ac:dyDescent="0.4">
      <c r="A133" s="59" t="s">
        <v>140</v>
      </c>
      <c r="B133" s="65">
        <f>D55</f>
        <v>0.41202581549140221</v>
      </c>
      <c r="C133" s="60" t="s">
        <v>142</v>
      </c>
      <c r="D133" s="61" t="s">
        <v>183</v>
      </c>
      <c r="E133" s="62"/>
      <c r="F133" s="62"/>
    </row>
    <row r="134" spans="1:6" x14ac:dyDescent="0.4">
      <c r="A134" s="59" t="s">
        <v>184</v>
      </c>
      <c r="B134" s="65">
        <f>D57</f>
        <v>206.01290774570111</v>
      </c>
      <c r="C134" s="60" t="s">
        <v>149</v>
      </c>
      <c r="D134" s="61" t="s">
        <v>185</v>
      </c>
      <c r="E134" s="62"/>
      <c r="F134" s="62"/>
    </row>
    <row r="135" spans="1:6" x14ac:dyDescent="0.4">
      <c r="A135" s="59" t="s">
        <v>186</v>
      </c>
      <c r="B135" s="65">
        <f>C32</f>
        <v>8</v>
      </c>
      <c r="C135" s="60" t="s">
        <v>80</v>
      </c>
      <c r="D135" s="61" t="s">
        <v>187</v>
      </c>
      <c r="E135" s="62"/>
      <c r="F135" s="62"/>
    </row>
    <row r="136" spans="1:6" x14ac:dyDescent="0.4">
      <c r="A136" s="59" t="s">
        <v>151</v>
      </c>
      <c r="B136" s="65">
        <f>D58</f>
        <v>0.35555555555555557</v>
      </c>
      <c r="C136" s="60" t="s">
        <v>138</v>
      </c>
      <c r="D136" s="61" t="s">
        <v>188</v>
      </c>
      <c r="E136" s="62"/>
      <c r="F136" s="62"/>
    </row>
    <row r="137" spans="1:6" x14ac:dyDescent="0.4">
      <c r="A137" s="59" t="s">
        <v>85</v>
      </c>
      <c r="B137" s="65">
        <f>C34</f>
        <v>3</v>
      </c>
      <c r="C137" s="60" t="s">
        <v>87</v>
      </c>
      <c r="D137" s="61" t="s">
        <v>88</v>
      </c>
      <c r="E137" s="62"/>
      <c r="F137" s="62"/>
    </row>
    <row r="138" spans="1:6" x14ac:dyDescent="0.4">
      <c r="A138" s="59" t="s">
        <v>153</v>
      </c>
      <c r="B138" s="65">
        <f>D59</f>
        <v>0.11851851851851852</v>
      </c>
      <c r="C138" s="60" t="s">
        <v>138</v>
      </c>
      <c r="D138" s="61" t="s">
        <v>189</v>
      </c>
      <c r="E138" s="62"/>
      <c r="F138" s="62"/>
    </row>
    <row r="139" spans="1:6" x14ac:dyDescent="0.4">
      <c r="A139" s="59" t="s">
        <v>190</v>
      </c>
      <c r="B139" s="65">
        <f>D62</f>
        <v>353.20862855067838</v>
      </c>
      <c r="C139" s="60" t="s">
        <v>149</v>
      </c>
      <c r="D139" s="61" t="s">
        <v>191</v>
      </c>
      <c r="E139" s="62"/>
      <c r="F139" s="62"/>
    </row>
    <row r="140" spans="1:6" x14ac:dyDescent="0.4">
      <c r="A140" s="59" t="s">
        <v>192</v>
      </c>
      <c r="B140" s="65">
        <f>D63</f>
        <v>335.5481971231444</v>
      </c>
      <c r="C140" s="60" t="s">
        <v>149</v>
      </c>
      <c r="D140" s="61" t="s">
        <v>191</v>
      </c>
      <c r="E140" s="62"/>
      <c r="F140" s="62"/>
    </row>
    <row r="141" spans="1:6" x14ac:dyDescent="0.4">
      <c r="A141" s="59" t="s">
        <v>193</v>
      </c>
      <c r="B141" s="65">
        <f>C33</f>
        <v>3</v>
      </c>
      <c r="C141" s="60" t="s">
        <v>80</v>
      </c>
      <c r="D141" s="61" t="s">
        <v>259</v>
      </c>
      <c r="E141" s="62"/>
      <c r="F141" s="62"/>
    </row>
    <row r="142" spans="1:6" ht="30.9" x14ac:dyDescent="0.4">
      <c r="A142" s="59" t="s">
        <v>195</v>
      </c>
      <c r="B142" s="65">
        <f>D64</f>
        <v>11</v>
      </c>
      <c r="C142" s="60" t="s">
        <v>73</v>
      </c>
      <c r="D142" s="61" t="s">
        <v>196</v>
      </c>
      <c r="E142" s="62"/>
      <c r="F142" s="62"/>
    </row>
    <row r="143" spans="1:6" x14ac:dyDescent="0.4">
      <c r="A143" s="59" t="s">
        <v>197</v>
      </c>
      <c r="B143" s="65">
        <v>25</v>
      </c>
      <c r="C143" s="60" t="s">
        <v>73</v>
      </c>
      <c r="D143" s="61" t="s">
        <v>198</v>
      </c>
      <c r="E143" s="62"/>
      <c r="F143" s="62"/>
    </row>
    <row r="144" spans="1:6" ht="17.05" customHeight="1" x14ac:dyDescent="0.4"/>
    <row r="145" spans="1:6" ht="17.05" customHeight="1" x14ac:dyDescent="0.4">
      <c r="A145" s="55" t="s">
        <v>254</v>
      </c>
      <c r="B145" s="56"/>
      <c r="C145" s="56"/>
      <c r="D145" s="56"/>
      <c r="E145" s="56"/>
      <c r="F145" s="56"/>
    </row>
    <row r="146" spans="1:6" ht="17.05" customHeight="1" x14ac:dyDescent="0.4">
      <c r="A146" s="63" t="s">
        <v>260</v>
      </c>
      <c r="B146" s="56"/>
      <c r="C146" s="56"/>
      <c r="D146" s="56"/>
      <c r="E146" s="56"/>
      <c r="F146" s="56"/>
    </row>
    <row r="147" spans="1:6" ht="17.05" customHeight="1" x14ac:dyDescent="0.4">
      <c r="A147" s="56"/>
      <c r="B147" s="56"/>
      <c r="C147" s="56"/>
      <c r="D147" s="56"/>
      <c r="E147" s="56"/>
      <c r="F147" s="56"/>
    </row>
    <row r="148" spans="1:6" x14ac:dyDescent="0.4">
      <c r="A148" s="56"/>
      <c r="B148" s="56"/>
      <c r="C148" s="56"/>
      <c r="D148" s="56"/>
      <c r="E148" s="56"/>
      <c r="F148" s="56"/>
    </row>
  </sheetData>
  <mergeCells count="100">
    <mergeCell ref="D15:F15"/>
    <mergeCell ref="E1:F1"/>
    <mergeCell ref="A43:F43"/>
    <mergeCell ref="D98:F98"/>
    <mergeCell ref="E30:F30"/>
    <mergeCell ref="D79:F79"/>
    <mergeCell ref="A67:F67"/>
    <mergeCell ref="D81:F81"/>
    <mergeCell ref="A123:F123"/>
    <mergeCell ref="A110:F110"/>
    <mergeCell ref="E37:F37"/>
    <mergeCell ref="A25:F25"/>
    <mergeCell ref="C4:C6"/>
    <mergeCell ref="C2:C3"/>
    <mergeCell ref="A1:A5"/>
    <mergeCell ref="D99:F99"/>
    <mergeCell ref="E32:F32"/>
    <mergeCell ref="A45:F45"/>
    <mergeCell ref="D84:F84"/>
    <mergeCell ref="D140:F140"/>
    <mergeCell ref="D101:F101"/>
    <mergeCell ref="A119:F121"/>
    <mergeCell ref="D77:F77"/>
    <mergeCell ref="D13:F13"/>
    <mergeCell ref="E33:F33"/>
    <mergeCell ref="D126:F126"/>
    <mergeCell ref="D70:F70"/>
    <mergeCell ref="A89:F89"/>
    <mergeCell ref="D135:F135"/>
    <mergeCell ref="A104:F104"/>
    <mergeCell ref="D125:F125"/>
    <mergeCell ref="D72:F72"/>
    <mergeCell ref="E35:F35"/>
    <mergeCell ref="D134:F134"/>
    <mergeCell ref="A21:F23"/>
    <mergeCell ref="E28:F28"/>
    <mergeCell ref="D127:F127"/>
    <mergeCell ref="E2:F2"/>
    <mergeCell ref="D74:F74"/>
    <mergeCell ref="D130:F130"/>
    <mergeCell ref="D83:F83"/>
    <mergeCell ref="D132:F132"/>
    <mergeCell ref="D85:F85"/>
    <mergeCell ref="A9:F9"/>
    <mergeCell ref="D69:F69"/>
    <mergeCell ref="D100:F100"/>
    <mergeCell ref="A11:F11"/>
    <mergeCell ref="E6:F6"/>
    <mergeCell ref="D86:F86"/>
    <mergeCell ref="D95:F95"/>
    <mergeCell ref="E4:F4"/>
    <mergeCell ref="D97:F97"/>
    <mergeCell ref="D78:F78"/>
    <mergeCell ref="D16:F16"/>
    <mergeCell ref="D87:F87"/>
    <mergeCell ref="E29:F29"/>
    <mergeCell ref="D71:F71"/>
    <mergeCell ref="D18:F18"/>
    <mergeCell ref="A109:F109"/>
    <mergeCell ref="E31:F31"/>
    <mergeCell ref="D73:F73"/>
    <mergeCell ref="A41:F41"/>
    <mergeCell ref="A146:F148"/>
    <mergeCell ref="D17:F17"/>
    <mergeCell ref="D91:F91"/>
    <mergeCell ref="A105:F107"/>
    <mergeCell ref="E38:F38"/>
    <mergeCell ref="A42:F42"/>
    <mergeCell ref="D137:F137"/>
    <mergeCell ref="D93:F93"/>
    <mergeCell ref="D136:F136"/>
    <mergeCell ref="A145:F145"/>
    <mergeCell ref="D82:F82"/>
    <mergeCell ref="D138:F138"/>
    <mergeCell ref="D141:F141"/>
    <mergeCell ref="D131:F131"/>
    <mergeCell ref="D139:F139"/>
    <mergeCell ref="D76:F76"/>
    <mergeCell ref="A118:F118"/>
    <mergeCell ref="D75:F75"/>
    <mergeCell ref="E3:F3"/>
    <mergeCell ref="D102:F102"/>
    <mergeCell ref="D12:F12"/>
    <mergeCell ref="D143:F143"/>
    <mergeCell ref="D92:F92"/>
    <mergeCell ref="A20:F20"/>
    <mergeCell ref="E5:F5"/>
    <mergeCell ref="E34:F34"/>
    <mergeCell ref="D133:F133"/>
    <mergeCell ref="D14:F14"/>
    <mergeCell ref="D142:F142"/>
    <mergeCell ref="D94:F94"/>
    <mergeCell ref="D129:F129"/>
    <mergeCell ref="E27:F27"/>
    <mergeCell ref="E36:F36"/>
    <mergeCell ref="A40:F40"/>
    <mergeCell ref="D128:F128"/>
    <mergeCell ref="D80:F80"/>
    <mergeCell ref="D96:F96"/>
    <mergeCell ref="B1:B5"/>
  </mergeCells>
  <printOptions horizontalCentered="1"/>
  <pageMargins left="0.19685039370078741" right="0.19685039370078741" top="0.19685039370078741" bottom="0.19685039370078741" header="0" footer="0"/>
  <pageSetup paperSize="9"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PORTADA</vt:lpstr>
      <vt:lpstr>MEMORIA DE CÁLCULO</vt:lpstr>
      <vt:lpstr>'MEMORIA DE CÁLCULO'!Área_de_impresión</vt:lpstr>
      <vt:lpstr>PORTADA!Área_de_impresión</vt:lpstr>
      <vt:lpstr>'MEMORIA DE CÁLCULO'!Títulos_a_imprimir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Arboleda Genes</dc:creator>
  <cp:lastModifiedBy>JAG DESIGN</cp:lastModifiedBy>
  <cp:lastPrinted>2026-07-23T22:06:46Z</cp:lastPrinted>
  <dcterms:created xsi:type="dcterms:W3CDTF">2022-01-25T18:39:15Z</dcterms:created>
  <dcterms:modified xsi:type="dcterms:W3CDTF">2026-07-23T22:07:10Z</dcterms:modified>
</cp:coreProperties>
</file>