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 Generales" sheetId="1" state="visible" r:id="rId1"/>
    <sheet name="Entradas" sheetId="2" state="visible" r:id="rId2"/>
    <sheet name="Cálculos" sheetId="3" state="visible" r:id="rId3"/>
    <sheet name="Resultados" sheetId="4" state="visible" r:id="rId4"/>
    <sheet name="Normativa" sheetId="5" state="visible" r:id="rId5"/>
    <sheet name="Vista Rápida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1"/>
    </font>
    <font>
      <b val="1"/>
      <color rgb="00000000"/>
    </font>
    <font>
      <b val="1"/>
      <color rgb="00000080"/>
    </font>
    <font>
      <b val="1"/>
      <color rgb="0000610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3" fillId="2" borderId="1" pivotButton="0" quotePrefix="0" xfId="0"/>
    <xf numFmtId="0" fontId="5" fillId="3" borderId="1" applyAlignment="1" pivotButton="0" quotePrefix="0" xfId="0">
      <alignment vertical="center" wrapText="1"/>
    </xf>
    <xf numFmtId="164" fontId="6" fillId="4" borderId="1" applyAlignment="1" pivotButton="0" quotePrefix="0" xfId="0">
      <alignment vertical="center" wrapText="1"/>
    </xf>
    <xf numFmtId="2" fontId="7" fillId="5" borderId="1" applyAlignment="1" pivotButton="0" quotePrefix="0" xfId="0">
      <alignment vertical="center" wrapText="1"/>
    </xf>
    <xf numFmtId="164" fontId="7" fillId="5" borderId="1" applyAlignment="1" pivotButton="0" quotePrefix="0" xfId="0">
      <alignment vertical="center" wrapText="1"/>
    </xf>
    <xf numFmtId="1" fontId="7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60" customWidth="1" min="1" max="1"/>
    <col width="50" customWidth="1" min="2" max="2"/>
    <col width="10" customWidth="1" min="3" max="3"/>
    <col width="48" customWidth="1" min="4" max="4"/>
  </cols>
  <sheetData>
    <row r="1">
      <c r="A1" s="1" t="inlineStr">
        <is>
          <t>MEMORIA DE CÁLCULO — SISTEMA DE VENTILACIÓN Y PRESURIZACIÓN</t>
        </is>
      </c>
    </row>
    <row r="2"/>
    <row r="3">
      <c r="A3" s="2" t="inlineStr">
        <is>
          <t>Información del proyecto</t>
        </is>
      </c>
    </row>
    <row r="4"/>
    <row r="5">
      <c r="A5" s="3" t="inlineStr">
        <is>
          <t>Concepto</t>
        </is>
      </c>
      <c r="B5" s="3" t="inlineStr">
        <is>
          <t>Valor</t>
        </is>
      </c>
      <c r="C5" s="3" t="inlineStr">
        <is>
          <t>Unidad</t>
        </is>
      </c>
      <c r="D5" s="3" t="inlineStr">
        <is>
          <t>Observación</t>
        </is>
      </c>
    </row>
    <row r="6">
      <c r="A6" s="4" t="inlineStr">
        <is>
          <t>Nombre del proyecto</t>
        </is>
      </c>
      <c r="B6" s="4" t="inlineStr">
        <is>
          <t>Laboratorio Brinsa</t>
        </is>
      </c>
      <c r="C6" s="4" t="inlineStr">
        <is>
          <t>-</t>
        </is>
      </c>
      <c r="D6" s="4" t="inlineStr">
        <is>
          <t>Ventilación por impulsión con presión positiva</t>
        </is>
      </c>
    </row>
    <row r="7">
      <c r="A7" s="4" t="inlineStr">
        <is>
          <t>Ubicación</t>
        </is>
      </c>
      <c r="B7" s="4" t="inlineStr">
        <is>
          <t>C:\Users\ingen\OneDrive\Escritorio\HVAC\Calculos</t>
        </is>
      </c>
      <c r="C7" s="4" t="inlineStr">
        <is>
          <t>-</t>
        </is>
      </c>
      <c r="D7" s="4" t="inlineStr">
        <is>
          <t>Carpeta de cálculos del proyecto</t>
        </is>
      </c>
    </row>
    <row r="8">
      <c r="A8" s="4" t="inlineStr">
        <is>
          <t>Volumen efectivo del laboratorio (V)</t>
        </is>
      </c>
      <c r="B8" s="4" t="inlineStr">
        <is>
          <t>320</t>
        </is>
      </c>
      <c r="C8" s="4" t="inlineStr">
        <is>
          <t>m³</t>
        </is>
      </c>
      <c r="D8" s="4" t="inlineStr">
        <is>
          <t>Medición / modelo 3D</t>
        </is>
      </c>
    </row>
    <row r="9">
      <c r="A9" s="4" t="inlineStr">
        <is>
          <t>Renovaciones de aire (N)</t>
        </is>
      </c>
      <c r="B9" s="4" t="inlineStr">
        <is>
          <t>12</t>
        </is>
      </c>
      <c r="C9" s="4" t="inlineStr">
        <is>
          <t>ren/h</t>
        </is>
      </c>
      <c r="D9" s="4" t="inlineStr">
        <is>
          <t>Sustentado normativamente</t>
        </is>
      </c>
    </row>
    <row r="10">
      <c r="A10" s="4" t="inlineStr">
        <is>
          <t>Objetivo</t>
        </is>
      </c>
      <c r="B10" s="4" t="inlineStr">
        <is>
          <t>Presurización positiva</t>
        </is>
      </c>
      <c r="C10" s="4" t="inlineStr">
        <is>
          <t>-</t>
        </is>
      </c>
      <c r="D10" s="4" t="inlineStr">
        <is>
          <t>Evitar ingreso de contaminantes</t>
        </is>
      </c>
    </row>
    <row r="11">
      <c r="A11" s="4" t="inlineStr">
        <is>
          <t>Estrategia</t>
        </is>
      </c>
      <c r="B11" s="4" t="inlineStr">
        <is>
          <t>Ventilador directo + rejillas de exfiltración</t>
        </is>
      </c>
      <c r="C11" s="4" t="inlineStr">
        <is>
          <t>-</t>
        </is>
      </c>
      <c r="D11" s="4" t="inlineStr">
        <is>
          <t>Sin ductos de impulsión</t>
        </is>
      </c>
    </row>
    <row r="12"/>
    <row r="13"/>
    <row r="14">
      <c r="A14" s="5" t="inlineStr">
        <is>
          <t>Objetivo del documento</t>
        </is>
      </c>
    </row>
    <row r="15">
      <c r="A15" s="6" t="inlineStr">
        <is>
          <t>Presentar de forma atómica, funcional y verificable el cálculo del caudal de aire, potencia del ventilador, área de impulsión del ventilador (sin ductos) y área/dimensiones de las rejillas de exfiltración para modelado CFD, con sustentación normativa.</t>
        </is>
      </c>
    </row>
    <row r="16"/>
    <row r="17"/>
  </sheetData>
  <mergeCells count="4">
    <mergeCell ref="A1:D1"/>
    <mergeCell ref="A15:D17"/>
    <mergeCell ref="A3:D3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60" customWidth="1" min="1" max="1"/>
    <col width="10" customWidth="1" min="2" max="2"/>
    <col width="10" customWidth="1" min="3" max="3"/>
    <col width="10" customWidth="1" min="4" max="4"/>
    <col width="43" customWidth="1" min="5" max="5"/>
  </cols>
  <sheetData>
    <row r="1">
      <c r="A1" s="2" t="inlineStr">
        <is>
          <t>PARÁMETROS DE ENTRADA</t>
        </is>
      </c>
    </row>
    <row r="2"/>
    <row r="3">
      <c r="A3" s="7" t="inlineStr">
        <is>
          <t>Parámetro</t>
        </is>
      </c>
      <c r="B3" s="7" t="inlineStr">
        <is>
          <t>Símbolo</t>
        </is>
      </c>
      <c r="C3" s="7" t="inlineStr">
        <is>
          <t>Valor</t>
        </is>
      </c>
      <c r="D3" s="7" t="inlineStr">
        <is>
          <t>Unidad</t>
        </is>
      </c>
      <c r="E3" s="7" t="inlineStr">
        <is>
          <t>Referencia / Nota</t>
        </is>
      </c>
    </row>
    <row r="4">
      <c r="A4" s="4" t="inlineStr">
        <is>
          <t>Volumen efectivo del laboratorio</t>
        </is>
      </c>
      <c r="B4" s="4" t="inlineStr">
        <is>
          <t>V</t>
        </is>
      </c>
      <c r="C4" s="8" t="n">
        <v>320</v>
      </c>
      <c r="D4" s="4" t="inlineStr">
        <is>
          <t>m³</t>
        </is>
      </c>
      <c r="E4" s="4" t="inlineStr">
        <is>
          <t>Medición directa o del modelo</t>
        </is>
      </c>
    </row>
    <row r="5">
      <c r="A5" s="4" t="inlineStr">
        <is>
          <t>Renovaciones de aire</t>
        </is>
      </c>
      <c r="B5" s="4" t="inlineStr">
        <is>
          <t>N</t>
        </is>
      </c>
      <c r="C5" s="8" t="n">
        <v>12</v>
      </c>
      <c r="D5" s="4" t="inlineStr">
        <is>
          <t>ren/h</t>
        </is>
      </c>
      <c r="E5" s="4" t="inlineStr">
        <is>
          <t>Ver hoja Normativa</t>
        </is>
      </c>
    </row>
    <row r="6">
      <c r="A6" s="4" t="inlineStr">
        <is>
          <t>Presión total estimada del ventilador</t>
        </is>
      </c>
      <c r="B6" s="4" t="inlineStr">
        <is>
          <t>ΔP</t>
        </is>
      </c>
      <c r="C6" s="8" t="n">
        <v>250</v>
      </c>
      <c r="D6" s="4" t="inlineStr">
        <is>
          <t>Pa</t>
        </is>
      </c>
      <c r="E6" s="4" t="inlineStr">
        <is>
          <t>Incluye filtro y rejillas de exfiltración</t>
        </is>
      </c>
    </row>
    <row r="7">
      <c r="A7" s="4" t="inlineStr">
        <is>
          <t>Eficiencia total del ventilador</t>
        </is>
      </c>
      <c r="B7" s="4" t="inlineStr">
        <is>
          <t>η</t>
        </is>
      </c>
      <c r="C7" s="8" t="n">
        <v>0.6</v>
      </c>
      <c r="D7" s="4" t="inlineStr">
        <is>
          <t>-</t>
        </is>
      </c>
      <c r="E7" s="4" t="inlineStr">
        <is>
          <t>Centrífugo/axial típico</t>
        </is>
      </c>
    </row>
    <row r="8">
      <c r="A8" s="4" t="inlineStr">
        <is>
          <t>Velocidad en boca del ventilador</t>
        </is>
      </c>
      <c r="B8" s="4" t="inlineStr">
        <is>
          <t>v_vent</t>
        </is>
      </c>
      <c r="C8" s="8" t="n">
        <v>8</v>
      </c>
      <c r="D8" s="4" t="inlineStr">
        <is>
          <t>m/s</t>
        </is>
      </c>
      <c r="E8" s="4" t="inlineStr">
        <is>
          <t>Para CFD, rango 6–12 m/s</t>
        </is>
      </c>
    </row>
    <row r="9">
      <c r="A9" s="4" t="inlineStr">
        <is>
          <t>Velocidad de exfiltración en rejillas</t>
        </is>
      </c>
      <c r="B9" s="4" t="inlineStr">
        <is>
          <t>v_sal</t>
        </is>
      </c>
      <c r="C9" s="8" t="n">
        <v>3</v>
      </c>
      <c r="D9" s="4" t="inlineStr">
        <is>
          <t>m/s</t>
        </is>
      </c>
      <c r="E9" s="4" t="inlineStr">
        <is>
          <t>Rango recomendado 2.5–4.0 m/s</t>
        </is>
      </c>
    </row>
    <row r="10">
      <c r="A10" s="4" t="inlineStr">
        <is>
          <t>Número de rejillas de salida</t>
        </is>
      </c>
      <c r="B10" s="4" t="inlineStr">
        <is>
          <t>n_rej</t>
        </is>
      </c>
      <c r="C10" s="8" t="n">
        <v>3</v>
      </c>
      <c r="D10" s="4" t="inlineStr">
        <is>
          <t>unid.</t>
        </is>
      </c>
      <c r="E10" s="4" t="inlineStr">
        <is>
          <t>Distribución propuesta</t>
        </is>
      </c>
    </row>
    <row r="11">
      <c r="A11" s="4" t="inlineStr">
        <is>
          <t>Proporción ancho/alto rejilla</t>
        </is>
      </c>
      <c r="B11" s="4" t="inlineStr">
        <is>
          <t>prop</t>
        </is>
      </c>
      <c r="C11" s="8" t="n">
        <v>0.95</v>
      </c>
      <c r="D11" s="4" t="inlineStr">
        <is>
          <t>-</t>
        </is>
      </c>
      <c r="E11" s="4" t="inlineStr">
        <is>
          <t>353 mm × 336 mm ≈ 0.95</t>
        </is>
      </c>
    </row>
    <row r="12">
      <c r="A12" s="4" t="inlineStr">
        <is>
          <t>Set-point presión diferencial</t>
        </is>
      </c>
      <c r="B12" s="4" t="inlineStr">
        <is>
          <t>ΔP_pos</t>
        </is>
      </c>
      <c r="C12" s="8" t="n">
        <v>25</v>
      </c>
      <c r="D12" s="4" t="inlineStr">
        <is>
          <t>Pa</t>
        </is>
      </c>
      <c r="E12" s="4" t="inlineStr">
        <is>
          <t>Presión positiva vs zona adyacente</t>
        </is>
      </c>
    </row>
    <row r="13"/>
    <row r="14"/>
    <row r="15">
      <c r="A15" s="5" t="inlineStr">
        <is>
          <t>Notas:</t>
        </is>
      </c>
    </row>
    <row r="16">
      <c r="A16" t="inlineStr">
        <is>
          <t>• Modifique los valores en amarillo; todos los cálculos se actualizan automáticamente.</t>
        </is>
      </c>
    </row>
    <row r="17">
      <c r="A17" t="inlineStr">
        <is>
          <t>• Las fórmulas están visibles en la barra de fórmulas de cada celda.</t>
        </is>
      </c>
    </row>
    <row r="18">
      <c r="A18" t="inlineStr">
        <is>
          <t>• Unidades: 1 m³/min = 35.3147 CFM; 1 kW = 1.341 HP.</t>
        </is>
      </c>
    </row>
  </sheetData>
  <mergeCells count="4">
    <mergeCell ref="A16:E16"/>
    <mergeCell ref="A1:E1"/>
    <mergeCell ref="A18:E18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DESARROLLO DE CÁLCULOS</t>
        </is>
      </c>
    </row>
    <row r="3">
      <c r="A3" s="7" t="inlineStr">
        <is>
          <t>Paso</t>
        </is>
      </c>
      <c r="B3" s="7" t="inlineStr">
        <is>
          <t>Descripción</t>
        </is>
      </c>
      <c r="C3" s="7" t="inlineStr">
        <is>
          <t>Fórmula / Valor</t>
        </is>
      </c>
      <c r="D3" s="7" t="inlineStr">
        <is>
          <t>Resultado</t>
        </is>
      </c>
      <c r="E3" s="7" t="inlineStr">
        <is>
          <t>Unidad</t>
        </is>
      </c>
      <c r="F3" s="7" t="inlineStr">
        <is>
          <t>Referencia celda</t>
        </is>
      </c>
    </row>
    <row r="4">
      <c r="A4" s="4" t="inlineStr">
        <is>
          <t>1</t>
        </is>
      </c>
      <c r="B4" s="4" t="inlineStr">
        <is>
          <t>Caudal de aire volumétrico</t>
        </is>
      </c>
      <c r="C4" s="4" t="inlineStr">
        <is>
          <t>Q = V × N / 60</t>
        </is>
      </c>
      <c r="D4" s="9">
        <f>Entradas!C4*Entradas!C5/60</f>
        <v/>
      </c>
      <c r="E4" s="4" t="inlineStr">
        <is>
          <t>m³/min</t>
        </is>
      </c>
      <c r="F4" s="4">
        <f>Cálculos!D4</f>
        <v/>
      </c>
    </row>
    <row r="5">
      <c r="A5" s="4" t="inlineStr">
        <is>
          <t>2</t>
        </is>
      </c>
      <c r="B5" s="4" t="inlineStr">
        <is>
          <t>Caudal de aire en m³/h</t>
        </is>
      </c>
      <c r="C5" s="4" t="inlineStr">
        <is>
          <t>Q_h = Q × 60</t>
        </is>
      </c>
      <c r="D5" s="9">
        <f>D4*60</f>
        <v/>
      </c>
      <c r="E5" s="4" t="inlineStr">
        <is>
          <t>m³/h</t>
        </is>
      </c>
      <c r="F5" s="4">
        <f>Cálculos!D5</f>
        <v/>
      </c>
    </row>
    <row r="6">
      <c r="A6" s="4" t="inlineStr">
        <is>
          <t>3</t>
        </is>
      </c>
      <c r="B6" s="4" t="inlineStr">
        <is>
          <t>Caudal de aire en CFM</t>
        </is>
      </c>
      <c r="C6" s="4" t="inlineStr">
        <is>
          <t>Q_cfm = Q × 35.3147</t>
        </is>
      </c>
      <c r="D6" s="9">
        <f>D4*35.3147</f>
        <v/>
      </c>
      <c r="E6" s="4" t="inlineStr">
        <is>
          <t>CFM</t>
        </is>
      </c>
      <c r="F6" s="4">
        <f>Cálculos!D6</f>
        <v/>
      </c>
    </row>
    <row r="7">
      <c r="A7" s="4" t="inlineStr">
        <is>
          <t>4</t>
        </is>
      </c>
      <c r="B7" s="4" t="inlineStr">
        <is>
          <t>Caudal en m³/s</t>
        </is>
      </c>
      <c r="C7" s="4" t="inlineStr">
        <is>
          <t>Q_s = Q / 60</t>
        </is>
      </c>
      <c r="D7" s="9">
        <f>D4/60</f>
        <v/>
      </c>
      <c r="E7" s="4" t="inlineStr">
        <is>
          <t>m³/s</t>
        </is>
      </c>
      <c r="F7" s="4">
        <f>Cálculos!D7</f>
        <v/>
      </c>
    </row>
    <row r="8">
      <c r="A8" s="4" t="inlineStr">
        <is>
          <t>5</t>
        </is>
      </c>
      <c r="B8" s="4" t="inlineStr">
        <is>
          <t>Potencia teórica del ventilador</t>
        </is>
      </c>
      <c r="C8" s="4" t="inlineStr">
        <is>
          <t>P = Q_s × ΔP / (η × 1000)</t>
        </is>
      </c>
      <c r="D8" s="9">
        <f>D7*Entradas!C6/(Entradas!C7*1000)</f>
        <v/>
      </c>
      <c r="E8" s="4" t="inlineStr">
        <is>
          <t>kW</t>
        </is>
      </c>
      <c r="F8" s="4">
        <f>Cálculos!D8</f>
        <v/>
      </c>
    </row>
    <row r="9">
      <c r="A9" s="4" t="inlineStr">
        <is>
          <t>6</t>
        </is>
      </c>
      <c r="B9" s="4" t="inlineStr">
        <is>
          <t>Potencia en HP</t>
        </is>
      </c>
      <c r="C9" s="4" t="inlineStr">
        <is>
          <t>HP = P × 1.341</t>
        </is>
      </c>
      <c r="D9" s="9">
        <f>D8*1.341</f>
        <v/>
      </c>
      <c r="E9" s="4" t="inlineStr">
        <is>
          <t>HP</t>
        </is>
      </c>
      <c r="F9" s="4">
        <f>Cálculos!D9</f>
        <v/>
      </c>
    </row>
    <row r="10">
      <c r="A10" s="4" t="inlineStr">
        <is>
          <t>7</t>
        </is>
      </c>
      <c r="B10" s="4" t="inlineStr">
        <is>
          <t>Área de impulsión del ventilador</t>
        </is>
      </c>
      <c r="C10" s="4" t="inlineStr">
        <is>
          <t>A_vent = Q_s / v_vent</t>
        </is>
      </c>
      <c r="D10" s="9">
        <f>D7/Entradas!C8</f>
        <v/>
      </c>
      <c r="E10" s="4" t="inlineStr">
        <is>
          <t>m²</t>
        </is>
      </c>
      <c r="F10" s="4">
        <f>Cálculos!D10</f>
        <v/>
      </c>
    </row>
    <row r="11">
      <c r="A11" s="4" t="inlineStr">
        <is>
          <t>8</t>
        </is>
      </c>
      <c r="B11" s="4" t="inlineStr">
        <is>
          <t>Diámetro equivalente del ventilador</t>
        </is>
      </c>
      <c r="C11" s="4" t="inlineStr">
        <is>
          <t>D = √(4×A_vent/π)</t>
        </is>
      </c>
      <c r="D11" s="9">
        <f>SQRT(4*D10/PI())</f>
        <v/>
      </c>
      <c r="E11" s="4" t="inlineStr">
        <is>
          <t>m</t>
        </is>
      </c>
      <c r="F11" s="4">
        <f>Cálculos!D11</f>
        <v/>
      </c>
    </row>
    <row r="12">
      <c r="A12" s="4" t="inlineStr">
        <is>
          <t>9</t>
        </is>
      </c>
      <c r="B12" s="4" t="inlineStr">
        <is>
          <t>Radio del ventilador</t>
        </is>
      </c>
      <c r="C12" s="4" t="inlineStr">
        <is>
          <t>r = D / 2</t>
        </is>
      </c>
      <c r="D12" s="9">
        <f>D11/2</f>
        <v/>
      </c>
      <c r="E12" s="4" t="inlineStr">
        <is>
          <t>m</t>
        </is>
      </c>
      <c r="F12" s="4">
        <f>Cálculos!D12</f>
        <v/>
      </c>
    </row>
    <row r="13">
      <c r="A13" s="4" t="inlineStr">
        <is>
          <t>10</t>
        </is>
      </c>
      <c r="B13" s="4" t="inlineStr">
        <is>
          <t>Radio del ventilador en mm</t>
        </is>
      </c>
      <c r="C13" s="4" t="inlineStr">
        <is>
          <t>r_mm = r × 1000</t>
        </is>
      </c>
      <c r="D13" s="9">
        <f>D12*1000</f>
        <v/>
      </c>
      <c r="E13" s="4" t="inlineStr">
        <is>
          <t>mm</t>
        </is>
      </c>
      <c r="F13" s="4">
        <f>Cálculos!D13</f>
        <v/>
      </c>
    </row>
    <row r="14">
      <c r="A14" s="4" t="inlineStr">
        <is>
          <t>11</t>
        </is>
      </c>
      <c r="B14" s="4" t="inlineStr">
        <is>
          <t>Área neta total de rejillas de salida</t>
        </is>
      </c>
      <c r="C14" s="4" t="inlineStr">
        <is>
          <t>A_exfil = Q_s / v_sal</t>
        </is>
      </c>
      <c r="D14" s="9">
        <f>D7/Entradas!C9</f>
        <v/>
      </c>
      <c r="E14" s="4" t="inlineStr">
        <is>
          <t>m²</t>
        </is>
      </c>
      <c r="F14" s="4">
        <f>Cálculos!D14</f>
        <v/>
      </c>
    </row>
    <row r="15">
      <c r="A15" s="4" t="inlineStr">
        <is>
          <t>12</t>
        </is>
      </c>
      <c r="B15" s="4" t="inlineStr">
        <is>
          <t>Área neta por rejilla de salida</t>
        </is>
      </c>
      <c r="C15" s="4" t="inlineStr">
        <is>
          <t>A_rej = A_exfil / n_rej</t>
        </is>
      </c>
      <c r="D15" s="9">
        <f>D14/Entradas!C10</f>
        <v/>
      </c>
      <c r="E15" s="4" t="inlineStr">
        <is>
          <t>m²</t>
        </is>
      </c>
      <c r="F15" s="4">
        <f>Cálculos!D15</f>
        <v/>
      </c>
    </row>
    <row r="16">
      <c r="A16" s="4" t="inlineStr">
        <is>
          <t>13</t>
        </is>
      </c>
      <c r="B16" s="4" t="inlineStr">
        <is>
          <t>Altura de rejilla (proporción dada)</t>
        </is>
      </c>
      <c r="C16" s="4" t="inlineStr">
        <is>
          <t>h = √(A_rej / prop)</t>
        </is>
      </c>
      <c r="D16" s="9">
        <f>SQRT(D15/Entradas!C11)</f>
        <v/>
      </c>
      <c r="E16" s="4" t="inlineStr">
        <is>
          <t>m</t>
        </is>
      </c>
      <c r="F16" s="4">
        <f>Cálculos!D16</f>
        <v/>
      </c>
    </row>
    <row r="17">
      <c r="A17" s="4" t="inlineStr">
        <is>
          <t>14</t>
        </is>
      </c>
      <c r="B17" s="4" t="inlineStr">
        <is>
          <t>Ancho de rejilla</t>
        </is>
      </c>
      <c r="C17" s="4" t="inlineStr">
        <is>
          <t>w = A_rej / h</t>
        </is>
      </c>
      <c r="D17" s="9">
        <f>D15/D16</f>
        <v/>
      </c>
      <c r="E17" s="4" t="inlineStr">
        <is>
          <t>m</t>
        </is>
      </c>
      <c r="F17" s="4">
        <f>Cálculos!D17</f>
        <v/>
      </c>
    </row>
    <row r="18">
      <c r="A18" s="4" t="inlineStr">
        <is>
          <t>15</t>
        </is>
      </c>
      <c r="B18" s="4" t="inlineStr">
        <is>
          <t>Altura de rejilla en mm</t>
        </is>
      </c>
      <c r="C18" s="4" t="inlineStr">
        <is>
          <t>h_mm = h × 1000</t>
        </is>
      </c>
      <c r="D18" s="9">
        <f>D16*1000</f>
        <v/>
      </c>
      <c r="E18" s="4" t="inlineStr">
        <is>
          <t>mm</t>
        </is>
      </c>
      <c r="F18" s="4">
        <f>Cálculos!D18</f>
        <v/>
      </c>
    </row>
    <row r="19">
      <c r="A19" s="4" t="inlineStr">
        <is>
          <t>16</t>
        </is>
      </c>
      <c r="B19" s="4" t="inlineStr">
        <is>
          <t>Ancho de rejilla en mm</t>
        </is>
      </c>
      <c r="C19" s="4" t="inlineStr">
        <is>
          <t>w_mm = w × 1000</t>
        </is>
      </c>
      <c r="D19" s="9">
        <f>D17*1000</f>
        <v/>
      </c>
      <c r="E19" s="4" t="inlineStr">
        <is>
          <t>mm</t>
        </is>
      </c>
      <c r="F19" s="4">
        <f>Cálculos!D19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9" customWidth="1" min="1" max="1"/>
    <col width="27" customWidth="1" min="2" max="2"/>
    <col width="10" customWidth="1" min="3" max="3"/>
    <col width="40" customWidth="1" min="4" max="4"/>
  </cols>
  <sheetData>
    <row r="1">
      <c r="A1" s="2" t="inlineStr">
        <is>
          <t>RESUMEN DE RESULTADOS DE DISEÑO</t>
        </is>
      </c>
    </row>
    <row r="2"/>
    <row r="3">
      <c r="A3" s="7" t="inlineStr">
        <is>
          <t>Parámetro</t>
        </is>
      </c>
      <c r="B3" s="7" t="inlineStr">
        <is>
          <t>Valor</t>
        </is>
      </c>
      <c r="C3" s="7" t="inlineStr">
        <is>
          <t>Unidad</t>
        </is>
      </c>
      <c r="D3" s="7" t="inlineStr">
        <is>
          <t>Observación</t>
        </is>
      </c>
    </row>
    <row r="4">
      <c r="A4" s="4" t="inlineStr">
        <is>
          <t>Caudal de diseño</t>
        </is>
      </c>
      <c r="B4" s="10">
        <f>'Cálculos'!D4</f>
        <v/>
      </c>
      <c r="C4" s="4" t="inlineStr">
        <is>
          <t>m³/min</t>
        </is>
      </c>
      <c r="D4" s="4" t="inlineStr">
        <is>
          <t>Caudal de impulsión requerido</t>
        </is>
      </c>
    </row>
    <row r="5">
      <c r="A5" s="4" t="inlineStr">
        <is>
          <t>Caudal de diseño</t>
        </is>
      </c>
      <c r="B5" s="10">
        <f>'Cálculos'!D5</f>
        <v/>
      </c>
      <c r="C5" s="4" t="inlineStr">
        <is>
          <t>m³/h</t>
        </is>
      </c>
      <c r="D5" s="4" t="inlineStr">
        <is>
          <t>Equivalente en metros cúbicos por hora</t>
        </is>
      </c>
    </row>
    <row r="6">
      <c r="A6" s="4" t="inlineStr">
        <is>
          <t>Caudal de diseño</t>
        </is>
      </c>
      <c r="B6" s="10">
        <f>'Cálculos'!D6</f>
        <v/>
      </c>
      <c r="C6" s="4" t="inlineStr">
        <is>
          <t>CFM</t>
        </is>
      </c>
      <c r="D6" s="4" t="inlineStr">
        <is>
          <t>Equivalente en pies cúbicos por minuto</t>
        </is>
      </c>
    </row>
    <row r="7">
      <c r="A7" s="4" t="inlineStr">
        <is>
          <t>Potencia teórica del ventilador</t>
        </is>
      </c>
      <c r="B7" s="10">
        <f>'Cálculos'!D8</f>
        <v/>
      </c>
      <c r="C7" s="4" t="inlineStr">
        <is>
          <t>kW</t>
        </is>
      </c>
      <c r="D7" s="4" t="inlineStr">
        <is>
          <t>A 250 Pa y η=0.60</t>
        </is>
      </c>
    </row>
    <row r="8">
      <c r="A8" s="4" t="inlineStr">
        <is>
          <t>Potencia teórica del ventilador</t>
        </is>
      </c>
      <c r="B8" s="10">
        <f>'Cálculos'!D9</f>
        <v/>
      </c>
      <c r="C8" s="4" t="inlineStr">
        <is>
          <t>HP</t>
        </is>
      </c>
      <c r="D8" s="4" t="inlineStr">
        <is>
          <t>Unidades imperiales</t>
        </is>
      </c>
    </row>
    <row r="9">
      <c r="A9" s="4" t="inlineStr">
        <is>
          <t>Potencia instalada recomendada</t>
        </is>
      </c>
      <c r="B9" s="10">
        <f>ROUNDUP('Cálculos'!D9,0)</f>
        <v/>
      </c>
      <c r="C9" s="4" t="inlineStr">
        <is>
          <t>HP</t>
        </is>
      </c>
      <c r="D9" s="4" t="inlineStr">
        <is>
          <t>Motor comercial con margen</t>
        </is>
      </c>
    </row>
    <row r="10">
      <c r="A10" s="4" t="inlineStr">
        <is>
          <t>Área de impulsión del ventilador</t>
        </is>
      </c>
      <c r="B10" s="10">
        <f>'Cálculos'!D10</f>
        <v/>
      </c>
      <c r="C10" s="4" t="inlineStr">
        <is>
          <t>m²</t>
        </is>
      </c>
      <c r="D10" s="4" t="inlineStr">
        <is>
          <t>Boca del ventilador</t>
        </is>
      </c>
    </row>
    <row r="11">
      <c r="A11" s="4" t="inlineStr">
        <is>
          <t>Diámetro equivalente del ventilador</t>
        </is>
      </c>
      <c r="B11" s="10">
        <f>'Cálculos'!D11</f>
        <v/>
      </c>
      <c r="C11" s="4" t="inlineStr">
        <is>
          <t>m</t>
        </is>
      </c>
      <c r="D11" s="4" t="inlineStr">
        <is>
          <t>Para referencia</t>
        </is>
      </c>
    </row>
    <row r="12">
      <c r="A12" s="4" t="inlineStr">
        <is>
          <t>Radio del ventilador (CFD)</t>
        </is>
      </c>
      <c r="B12" s="10">
        <f>'Cálculos'!D13</f>
        <v/>
      </c>
      <c r="C12" s="4" t="inlineStr">
        <is>
          <t>mm</t>
        </is>
      </c>
      <c r="D12" s="4" t="inlineStr">
        <is>
          <t>Círculo de inyección</t>
        </is>
      </c>
    </row>
    <row r="13">
      <c r="A13" s="4" t="inlineStr">
        <is>
          <t>Velocidad de impulsión</t>
        </is>
      </c>
      <c r="B13" s="10">
        <f>Entradas!C8</f>
        <v/>
      </c>
      <c r="C13" s="4" t="inlineStr">
        <is>
          <t>m/s</t>
        </is>
      </c>
      <c r="D13" s="4" t="inlineStr">
        <is>
          <t>Condición de entrada CFD</t>
        </is>
      </c>
    </row>
    <row r="14">
      <c r="A14" s="4" t="inlineStr">
        <is>
          <t>Área neta total de rejillas de salida</t>
        </is>
      </c>
      <c r="B14" s="10">
        <f>'Cálculos'!D14</f>
        <v/>
      </c>
      <c r="C14" s="4" t="inlineStr">
        <is>
          <t>m²</t>
        </is>
      </c>
      <c r="D14" s="4" t="inlineStr">
        <is>
          <t>A v=3 m/s</t>
        </is>
      </c>
    </row>
    <row r="15">
      <c r="A15" s="4" t="inlineStr">
        <is>
          <t>Número de rejillas de salida</t>
        </is>
      </c>
      <c r="B15" s="10">
        <f>Entradas!C10</f>
        <v/>
      </c>
      <c r="C15" s="4" t="inlineStr">
        <is>
          <t>unid.</t>
        </is>
      </c>
      <c r="D15" s="4" t="inlineStr">
        <is>
          <t>Distribución propuesta</t>
        </is>
      </c>
    </row>
    <row r="16">
      <c r="A16" s="4" t="inlineStr">
        <is>
          <t>Área neta por rejilla de salida</t>
        </is>
      </c>
      <c r="B16" s="10">
        <f>'Cálculos'!D15</f>
        <v/>
      </c>
      <c r="C16" s="4" t="inlineStr">
        <is>
          <t>m²</t>
        </is>
      </c>
      <c r="D16" s="4" t="inlineStr">
        <is>
          <t>Cada rejilla</t>
        </is>
      </c>
    </row>
    <row r="17">
      <c r="A17" s="4" t="inlineStr">
        <is>
          <t>Altura de rejilla de salida</t>
        </is>
      </c>
      <c r="B17" s="10">
        <f>'Cálculos'!D18</f>
        <v/>
      </c>
      <c r="C17" s="4" t="inlineStr">
        <is>
          <t>mm</t>
        </is>
      </c>
      <c r="D17" s="4" t="inlineStr">
        <is>
          <t>Dimensiones para CFD</t>
        </is>
      </c>
    </row>
    <row r="18">
      <c r="A18" s="4" t="inlineStr">
        <is>
          <t>Ancho de rejilla de salida</t>
        </is>
      </c>
      <c r="B18" s="10">
        <f>'Cálculos'!D19</f>
        <v/>
      </c>
      <c r="C18" s="4" t="inlineStr">
        <is>
          <t>mm</t>
        </is>
      </c>
      <c r="D18" s="4" t="inlineStr">
        <is>
          <t>Dimensiones para CFD</t>
        </is>
      </c>
    </row>
    <row r="19">
      <c r="A19" s="4" t="inlineStr">
        <is>
          <t>Velocidad de exfiltración</t>
        </is>
      </c>
      <c r="B19" s="10">
        <f>Entradas!C9</f>
        <v/>
      </c>
      <c r="C19" s="4" t="inlineStr">
        <is>
          <t>m/s</t>
        </is>
      </c>
      <c r="D19" s="4" t="inlineStr">
        <is>
          <t>Condición de salida CFD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60" customWidth="1" min="1" max="1"/>
    <col width="15" customWidth="1" min="2" max="2"/>
    <col width="26" customWidth="1" min="3" max="3"/>
    <col width="46" customWidth="1" min="4" max="4"/>
    <col width="10" customWidth="1" min="5" max="5"/>
  </cols>
  <sheetData>
    <row r="1">
      <c r="A1" s="2" t="inlineStr">
        <is>
          <t>SUSTENTACIÓN NORMATIVA — 12 RENOVACIONES/HORA</t>
        </is>
      </c>
    </row>
    <row r="2"/>
    <row r="3">
      <c r="A3" s="7" t="inlineStr">
        <is>
          <t>Norma / Guía</t>
        </is>
      </c>
      <c r="B3" s="7" t="inlineStr">
        <is>
          <t>Año / Edición</t>
        </is>
      </c>
      <c r="C3" s="7" t="inlineStr">
        <is>
          <t>Recomendación ACH</t>
        </is>
      </c>
      <c r="D3" s="7" t="inlineStr">
        <is>
          <t>Observación</t>
        </is>
      </c>
    </row>
    <row r="4">
      <c r="A4" s="4" t="inlineStr">
        <is>
          <t>ASHRAE 170 — Ventilation of Health Care Facilities</t>
        </is>
      </c>
      <c r="B4" s="4" t="inlineStr">
        <is>
          <t>2021</t>
        </is>
      </c>
      <c r="C4" s="4" t="inlineStr">
        <is>
          <t>6–15 ACH</t>
        </is>
      </c>
      <c r="D4" s="4" t="inlineStr">
        <is>
          <t>Laboratorios clínicos/procedimiento</t>
        </is>
      </c>
    </row>
    <row r="5">
      <c r="A5" s="4" t="inlineStr">
        <is>
          <t>ASHRAE 62.1 — Ventilation for Acceptable IAQ</t>
        </is>
      </c>
      <c r="B5" s="4" t="inlineStr">
        <is>
          <t>2022</t>
        </is>
      </c>
      <c r="C5" s="4" t="inlineStr">
        <is>
          <t>Por ocupación y área</t>
        </is>
      </c>
      <c r="D5" s="4" t="inlineStr">
        <is>
          <t>Caudal mínimo de aire exterior</t>
        </is>
      </c>
    </row>
    <row r="6">
      <c r="A6" s="4" t="inlineStr">
        <is>
          <t>OSHA 29 CFR 1910.1450 — Laboratory Standard</t>
        </is>
      </c>
      <c r="B6" s="4" t="inlineStr">
        <is>
          <t>2012</t>
        </is>
      </c>
      <c r="C6" s="4" t="inlineStr">
        <is>
          <t>Según PEL</t>
        </is>
      </c>
      <c r="D6" s="4" t="inlineStr">
        <is>
          <t>Ventilación para control de exposición</t>
        </is>
      </c>
    </row>
    <row r="7">
      <c r="A7" s="4" t="inlineStr">
        <is>
          <t>NFPA 99 — Health Care Facilities Code</t>
        </is>
      </c>
      <c r="B7" s="4" t="inlineStr">
        <is>
          <t>2021</t>
        </is>
      </c>
      <c r="C7" s="4" t="inlineStr">
        <is>
          <t>Cumplimiento de sistemas</t>
        </is>
      </c>
      <c r="D7" s="4" t="inlineStr">
        <is>
          <t>Fiabilidad de sistemas de aire</t>
        </is>
      </c>
    </row>
    <row r="8">
      <c r="A8" s="4" t="inlineStr">
        <is>
          <t>WHO — Laboratory Biosafety Manual (BSL-2)</t>
        </is>
      </c>
      <c r="B8" s="4" t="inlineStr">
        <is>
          <t>2004</t>
        </is>
      </c>
      <c r="C8" s="4" t="inlineStr">
        <is>
          <t>6–12 ACH</t>
        </is>
      </c>
      <c r="D8" s="4" t="inlineStr">
        <is>
          <t>12 ACH = límite superior BSL-2</t>
        </is>
      </c>
    </row>
    <row r="9">
      <c r="A9" s="4" t="inlineStr">
        <is>
          <t>WHO — Laboratory Biosafety Manual (BSL-3)</t>
        </is>
      </c>
      <c r="B9" s="4" t="inlineStr">
        <is>
          <t>2004</t>
        </is>
      </c>
      <c r="C9" s="4" t="inlineStr">
        <is>
          <t>12–15 ACH</t>
        </is>
      </c>
      <c r="D9" s="4" t="inlineStr">
        <is>
          <t>12 ACH = umbral inferior BSL-3</t>
        </is>
      </c>
    </row>
    <row r="10">
      <c r="A10" s="4" t="inlineStr">
        <is>
          <t>NIH — Design Requirements Manual</t>
        </is>
      </c>
      <c r="B10" s="4" t="inlineStr">
        <is>
          <t>2023</t>
        </is>
      </c>
      <c r="C10" s="4" t="inlineStr">
        <is>
          <t>10–12 ACH</t>
        </is>
      </c>
      <c r="D10" s="4" t="inlineStr">
        <is>
          <t>Punto de diseño para laboratorios biomédicos</t>
        </is>
      </c>
    </row>
    <row r="11"/>
    <row r="12"/>
    <row r="13">
      <c r="A13" s="5" t="inlineStr">
        <is>
          <t>Conclusión</t>
        </is>
      </c>
    </row>
    <row r="14">
      <c r="A14" s="6" t="inlineStr">
        <is>
          <t>La selección de 12 renovaciones de aire por hora está sustentada por las guías internacionales de bioseguridad (WHO BSL-2/BSL-3, NIH DRM) y los estándares de ventilación de ASHRAE para instalaciones de salud.</t>
        </is>
      </c>
    </row>
    <row r="15"/>
    <row r="16"/>
  </sheetData>
  <mergeCells count="3">
    <mergeCell ref="A14:E16"/>
    <mergeCell ref="A1:E1"/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60" customWidth="1" min="1" max="1"/>
    <col width="21" customWidth="1" min="2" max="2"/>
    <col width="10" customWidth="1" min="3" max="3"/>
    <col width="40" customWidth="1" min="4" max="4"/>
  </cols>
  <sheetData>
    <row r="1">
      <c r="A1" s="2" t="inlineStr">
        <is>
          <t>VISTA RÁPIDA — RESULTADOS PRECARGADOS</t>
        </is>
      </c>
    </row>
    <row r="2"/>
    <row r="3">
      <c r="A3" s="7" t="inlineStr">
        <is>
          <t>Parámetro</t>
        </is>
      </c>
      <c r="B3" s="7" t="inlineStr">
        <is>
          <t>Valor</t>
        </is>
      </c>
      <c r="C3" s="7" t="inlineStr">
        <is>
          <t>Unidad</t>
        </is>
      </c>
      <c r="D3" s="7" t="inlineStr">
        <is>
          <t>Observación</t>
        </is>
      </c>
    </row>
    <row r="4">
      <c r="A4" s="4" t="inlineStr">
        <is>
          <t>Caudal de diseño</t>
        </is>
      </c>
      <c r="B4" s="11" t="n">
        <v>64</v>
      </c>
      <c r="C4" s="4" t="inlineStr">
        <is>
          <t>m³/min</t>
        </is>
      </c>
      <c r="D4" s="4" t="inlineStr">
        <is>
          <t>Caudal de impulsión requerido</t>
        </is>
      </c>
    </row>
    <row r="5">
      <c r="A5" s="4" t="inlineStr">
        <is>
          <t>Caudal de diseño</t>
        </is>
      </c>
      <c r="B5" s="11" t="n">
        <v>3840</v>
      </c>
      <c r="C5" s="4" t="inlineStr">
        <is>
          <t>m³/h</t>
        </is>
      </c>
      <c r="D5" s="4" t="inlineStr">
        <is>
          <t>Equivalente en metros cúbicos por hora</t>
        </is>
      </c>
    </row>
    <row r="6">
      <c r="A6" s="4" t="inlineStr">
        <is>
          <t>Caudal de diseño</t>
        </is>
      </c>
      <c r="B6" s="11" t="n">
        <v>2260.1408</v>
      </c>
      <c r="C6" s="4" t="inlineStr">
        <is>
          <t>CFM</t>
        </is>
      </c>
      <c r="D6" s="4" t="inlineStr">
        <is>
          <t>Equivalente en pies cúbicos por minuto</t>
        </is>
      </c>
    </row>
    <row r="7">
      <c r="A7" s="4" t="inlineStr">
        <is>
          <t>Potencia teórica del ventilador</t>
        </is>
      </c>
      <c r="B7" s="11" t="n">
        <v>0.4444444444444445</v>
      </c>
      <c r="C7" s="4" t="inlineStr">
        <is>
          <t>kW</t>
        </is>
      </c>
      <c r="D7" s="4" t="inlineStr">
        <is>
          <t>A 250 Pa y η=0.60</t>
        </is>
      </c>
    </row>
    <row r="8">
      <c r="A8" s="4" t="inlineStr">
        <is>
          <t>Potencia teórica del ventilador</t>
        </is>
      </c>
      <c r="B8" s="11" t="n">
        <v>0.596</v>
      </c>
      <c r="C8" s="4" t="inlineStr">
        <is>
          <t>HP</t>
        </is>
      </c>
      <c r="D8" s="4" t="inlineStr">
        <is>
          <t>Unidades imperiales</t>
        </is>
      </c>
    </row>
    <row r="9">
      <c r="A9" s="4" t="inlineStr">
        <is>
          <t>Potencia instalada recomendada</t>
        </is>
      </c>
      <c r="B9" s="12" t="n">
        <v>1</v>
      </c>
      <c r="C9" s="4" t="inlineStr">
        <is>
          <t>HP</t>
        </is>
      </c>
      <c r="D9" s="4" t="inlineStr">
        <is>
          <t>Motor comercial con margen</t>
        </is>
      </c>
    </row>
    <row r="10">
      <c r="A10" s="4" t="inlineStr">
        <is>
          <t>Área de impulsión del ventilador</t>
        </is>
      </c>
      <c r="B10" s="11" t="n">
        <v>0.1333333333333333</v>
      </c>
      <c r="C10" s="4" t="inlineStr">
        <is>
          <t>m²</t>
        </is>
      </c>
      <c r="D10" s="4" t="inlineStr">
        <is>
          <t>Boca del ventilador</t>
        </is>
      </c>
    </row>
    <row r="11">
      <c r="A11" s="4" t="inlineStr">
        <is>
          <t>Diámetro equivalente del ventilador</t>
        </is>
      </c>
      <c r="B11" s="11" t="n">
        <v>0.4120258154914022</v>
      </c>
      <c r="C11" s="4" t="inlineStr">
        <is>
          <t>m</t>
        </is>
      </c>
      <c r="D11" s="4" t="inlineStr">
        <is>
          <t>Para referencia</t>
        </is>
      </c>
    </row>
    <row r="12">
      <c r="A12" s="4" t="inlineStr">
        <is>
          <t>Radio del ventilador (CFD)</t>
        </is>
      </c>
      <c r="B12" s="11" t="n">
        <v>206.0129077457011</v>
      </c>
      <c r="C12" s="4" t="inlineStr">
        <is>
          <t>mm</t>
        </is>
      </c>
      <c r="D12" s="4" t="inlineStr">
        <is>
          <t>Círculo de inyección</t>
        </is>
      </c>
    </row>
    <row r="13">
      <c r="A13" s="4" t="inlineStr">
        <is>
          <t>Velocidad de impulsión</t>
        </is>
      </c>
      <c r="B13" s="11" t="n">
        <v>8</v>
      </c>
      <c r="C13" s="4" t="inlineStr">
        <is>
          <t>m/s</t>
        </is>
      </c>
      <c r="D13" s="4" t="inlineStr">
        <is>
          <t>Condición de entrada CFD</t>
        </is>
      </c>
    </row>
    <row r="14">
      <c r="A14" s="4" t="inlineStr">
        <is>
          <t>Área neta total de rejillas de salida</t>
        </is>
      </c>
      <c r="B14" s="11" t="n">
        <v>0.3555555555555556</v>
      </c>
      <c r="C14" s="4" t="inlineStr">
        <is>
          <t>m²</t>
        </is>
      </c>
      <c r="D14" s="4" t="inlineStr">
        <is>
          <t>A v=3 m/s</t>
        </is>
      </c>
    </row>
    <row r="15">
      <c r="A15" s="4" t="inlineStr">
        <is>
          <t>Número de rejillas de salida</t>
        </is>
      </c>
      <c r="B15" s="12" t="n">
        <v>3</v>
      </c>
      <c r="C15" s="4" t="inlineStr">
        <is>
          <t>unid.</t>
        </is>
      </c>
      <c r="D15" s="4" t="inlineStr">
        <is>
          <t>Distribución propuesta</t>
        </is>
      </c>
    </row>
    <row r="16">
      <c r="A16" s="4" t="inlineStr">
        <is>
          <t>Área neta por rejilla de salida</t>
        </is>
      </c>
      <c r="B16" s="11" t="n">
        <v>0.1185185185185185</v>
      </c>
      <c r="C16" s="4" t="inlineStr">
        <is>
          <t>m²</t>
        </is>
      </c>
      <c r="D16" s="4" t="inlineStr">
        <is>
          <t>Cada rejilla</t>
        </is>
      </c>
    </row>
    <row r="17">
      <c r="A17" s="4" t="inlineStr">
        <is>
          <t>Altura de rejilla de salida</t>
        </is>
      </c>
      <c r="B17" s="11" t="n">
        <v>353.2086285506784</v>
      </c>
      <c r="C17" s="4" t="inlineStr">
        <is>
          <t>mm</t>
        </is>
      </c>
      <c r="D17" s="4" t="inlineStr">
        <is>
          <t>Dimensiones para CFD</t>
        </is>
      </c>
    </row>
    <row r="18">
      <c r="A18" s="4" t="inlineStr">
        <is>
          <t>Ancho de rejilla de salida</t>
        </is>
      </c>
      <c r="B18" s="11" t="n">
        <v>335.5481971231444</v>
      </c>
      <c r="C18" s="4" t="inlineStr">
        <is>
          <t>mm</t>
        </is>
      </c>
      <c r="D18" s="4" t="inlineStr">
        <is>
          <t>Dimensiones para CFD</t>
        </is>
      </c>
    </row>
    <row r="19">
      <c r="A19" s="4" t="inlineStr">
        <is>
          <t>Velocidad de exfiltración</t>
        </is>
      </c>
      <c r="B19" s="11" t="n">
        <v>3</v>
      </c>
      <c r="C19" s="4" t="inlineStr">
        <is>
          <t>m/s</t>
        </is>
      </c>
      <c r="D19" s="4" t="inlineStr">
        <is>
          <t>Condición de salida CFD</t>
        </is>
      </c>
    </row>
    <row r="20"/>
    <row r="21"/>
    <row r="22">
      <c r="A22" s="5" t="inlineStr">
        <is>
          <t>Nota:</t>
        </is>
      </c>
    </row>
    <row r="23">
      <c r="A23" s="6" t="inlineStr">
        <is>
          <t>Estos valores son el resultado numérico precargado de las fórmulas de la hoja Cálculos. Si modifica las entradas, revise también las hojas Cálculos y Resultados.</t>
        </is>
      </c>
    </row>
    <row r="24"/>
    <row r="25"/>
  </sheetData>
  <mergeCells count="3">
    <mergeCell ref="A22:D22"/>
    <mergeCell ref="A1:D1"/>
    <mergeCell ref="A23:D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2026-07-16T18:03:59Z</dcterms:created>
  <dcterms:modified xsi:type="dcterms:W3CDTF">2026-07-16T18:03:59Z</dcterms:modified>
</cp:coreProperties>
</file>