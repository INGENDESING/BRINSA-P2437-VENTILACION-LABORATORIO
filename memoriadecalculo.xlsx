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MEMORIA DE CÁLCULO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00000000000"/>
    <numFmt numFmtId="166" formatCode="0.0000"/>
    <numFmt numFmtId="167" formatCode="0.000"/>
  </numFmts>
  <fonts count="23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1F4E78"/>
      <sz val="11"/>
    </font>
    <font>
      <b val="1"/>
      <color rgb="00FFFFFF"/>
      <sz val="11"/>
    </font>
    <font>
      <b val="1"/>
      <color rgb="00000000"/>
    </font>
    <font>
      <b val="1"/>
      <color rgb="00000080"/>
    </font>
    <font>
      <b val="1"/>
      <color rgb="00006100"/>
    </font>
  </fonts>
  <fills count="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0" applyAlignment="1" pivotButton="0" quotePrefix="0" xfId="0">
      <alignment vertical="top" wrapText="1"/>
    </xf>
    <xf numFmtId="0" fontId="20" fillId="6" borderId="13" applyAlignment="1" pivotButton="0" quotePrefix="0" xfId="0">
      <alignment horizontal="center" vertical="center" wrapText="1"/>
    </xf>
    <xf numFmtId="166" fontId="21" fillId="7" borderId="13" applyAlignment="1" pivotButton="0" quotePrefix="0" xfId="0">
      <alignment horizontal="center" vertical="center" wrapText="1"/>
    </xf>
    <xf numFmtId="166" fontId="22" fillId="8" borderId="13" applyAlignment="1" pivotButton="0" quotePrefix="0" xfId="0">
      <alignment horizontal="center" vertical="center" wrapText="1"/>
    </xf>
    <xf numFmtId="1" fontId="22" fillId="8" borderId="13" applyAlignment="1" pivotButton="0" quotePrefix="0" xfId="0">
      <alignment horizontal="center" vertical="center" wrapText="1"/>
    </xf>
    <xf numFmtId="167" fontId="22" fillId="8" borderId="13" applyAlignment="1" pivotButton="0" quotePrefix="0" xfId="0">
      <alignment horizontal="center" vertical="center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P2437-HV-CAL-001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MEMORIA DE CÁLCULO DEL SISTEMA DE VENTILACIÓN Y PRESURIZACIÓN DEL LABORATORIO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8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1. DATOS GENERALES — MEMORIA DE CÁLCULO, SISTEMA DE VENTILACIÓN Y PRESURIZACIÓN</t>
        </is>
      </c>
    </row>
    <row r="11">
      <c r="A11" s="59" t="inlineStr">
        <is>
          <t>Información del proyecto</t>
        </is>
      </c>
    </row>
    <row r="12">
      <c r="A12" s="60" t="inlineStr">
        <is>
          <t>Concepto</t>
        </is>
      </c>
      <c r="B12" s="60" t="inlineStr">
        <is>
          <t>Valor</t>
        </is>
      </c>
      <c r="C12" s="60" t="inlineStr">
        <is>
          <t>Unidad</t>
        </is>
      </c>
      <c r="D12" s="60" t="inlineStr">
        <is>
          <t>Observación</t>
        </is>
      </c>
      <c r="E12" s="60" t="n"/>
      <c r="F12" s="60" t="n"/>
    </row>
    <row r="13">
      <c r="A13" s="61" t="inlineStr">
        <is>
          <t>Nombre del proyecto</t>
        </is>
      </c>
      <c r="B13" s="61" t="inlineStr">
        <is>
          <t>Laboratorio Brinsa</t>
        </is>
      </c>
      <c r="C13" s="62" t="inlineStr">
        <is>
          <t>-</t>
        </is>
      </c>
      <c r="D13" s="61" t="inlineStr">
        <is>
          <t>Ventilación por impulsión con presión positiva</t>
        </is>
      </c>
      <c r="E13" s="63" t="n"/>
      <c r="F13" s="63" t="n"/>
    </row>
    <row r="14">
      <c r="A14" s="61" t="inlineStr">
        <is>
          <t>Ubicación</t>
        </is>
      </c>
      <c r="B14" s="61" t="inlineStr">
        <is>
          <t>C:\Users\ingen\OneDrive\Escritorio\HVAC\Calculos</t>
        </is>
      </c>
      <c r="C14" s="62" t="inlineStr">
        <is>
          <t>-</t>
        </is>
      </c>
      <c r="D14" s="61" t="inlineStr">
        <is>
          <t>Carpeta de cálculos del proyecto</t>
        </is>
      </c>
      <c r="E14" s="63" t="n"/>
      <c r="F14" s="63" t="n"/>
    </row>
    <row r="15">
      <c r="A15" s="61" t="inlineStr">
        <is>
          <t>Volumen efectivo del laboratorio (V)</t>
        </is>
      </c>
      <c r="B15" s="61" t="inlineStr">
        <is>
          <t>320</t>
        </is>
      </c>
      <c r="C15" s="62" t="inlineStr">
        <is>
          <t>m³</t>
        </is>
      </c>
      <c r="D15" s="61" t="inlineStr">
        <is>
          <t>Medición / modelo 3D</t>
        </is>
      </c>
      <c r="E15" s="63" t="n"/>
      <c r="F15" s="63" t="n"/>
    </row>
    <row r="16">
      <c r="A16" s="61" t="inlineStr">
        <is>
          <t>Renovaciones de aire (N)</t>
        </is>
      </c>
      <c r="B16" s="61" t="inlineStr">
        <is>
          <t>12</t>
        </is>
      </c>
      <c r="C16" s="62" t="inlineStr">
        <is>
          <t>ren/h</t>
        </is>
      </c>
      <c r="D16" s="61" t="inlineStr">
        <is>
          <t>Sustentado normativamente</t>
        </is>
      </c>
      <c r="E16" s="63" t="n"/>
      <c r="F16" s="63" t="n"/>
    </row>
    <row r="17">
      <c r="A17" s="61" t="inlineStr">
        <is>
          <t>Objetivo</t>
        </is>
      </c>
      <c r="B17" s="61" t="inlineStr">
        <is>
          <t>Presurización positiva</t>
        </is>
      </c>
      <c r="C17" s="62" t="inlineStr">
        <is>
          <t>-</t>
        </is>
      </c>
      <c r="D17" s="61" t="inlineStr">
        <is>
          <t>Evitar ingreso de contaminantes</t>
        </is>
      </c>
      <c r="E17" s="63" t="n"/>
      <c r="F17" s="63" t="n"/>
    </row>
    <row r="18">
      <c r="A18" s="61" t="inlineStr">
        <is>
          <t>Estrategia</t>
        </is>
      </c>
      <c r="B18" s="61" t="inlineStr">
        <is>
          <t>Ventilador directo + rejillas de exfiltración</t>
        </is>
      </c>
      <c r="C18" s="62" t="inlineStr">
        <is>
          <t>-</t>
        </is>
      </c>
      <c r="D18" s="61" t="inlineStr">
        <is>
          <t>Sin ductos de impulsión</t>
        </is>
      </c>
      <c r="E18" s="63" t="n"/>
      <c r="F18" s="63" t="n"/>
    </row>
    <row r="20">
      <c r="A20" s="59" t="inlineStr">
        <is>
          <t>Objetivo del documento</t>
        </is>
      </c>
    </row>
    <row r="21">
      <c r="A21" s="64" t="inlineStr">
        <is>
          <t>Presentar de forma atómica, funcional y verificable el cálculo del caudal de aire, potencia del ventilador, área de impulsión del ventilador (sin ductos), área/dimensiones de las rejillas de exfiltración para modelado CFD, y el cierre presión–caudal que sustenta la presurización, con sustentación normativa.</t>
        </is>
      </c>
    </row>
    <row r="22"/>
    <row r="23"/>
    <row r="25">
      <c r="A25" s="58" t="inlineStr">
        <is>
          <t>2. PARÁMETROS DE ENTRADA</t>
        </is>
      </c>
    </row>
    <row r="27">
      <c r="A27" s="60" t="inlineStr">
        <is>
          <t>Parámetro</t>
        </is>
      </c>
      <c r="B27" s="60" t="inlineStr">
        <is>
          <t>Símbolo</t>
        </is>
      </c>
      <c r="C27" s="60" t="inlineStr">
        <is>
          <t>Valor</t>
        </is>
      </c>
      <c r="D27" s="60" t="inlineStr">
        <is>
          <t>Unidad</t>
        </is>
      </c>
      <c r="E27" s="60" t="inlineStr">
        <is>
          <t>Referencia / Nota</t>
        </is>
      </c>
      <c r="F27" s="60" t="n"/>
    </row>
    <row r="28">
      <c r="A28" s="61" t="inlineStr">
        <is>
          <t>Volumen efectivo del laboratorio</t>
        </is>
      </c>
      <c r="B28" s="62" t="inlineStr">
        <is>
          <t>V</t>
        </is>
      </c>
      <c r="C28" s="65" t="n">
        <v>320</v>
      </c>
      <c r="D28" s="62" t="inlineStr">
        <is>
          <t>m³</t>
        </is>
      </c>
      <c r="E28" s="61" t="inlineStr">
        <is>
          <t>Medición directa o del modelo</t>
        </is>
      </c>
      <c r="F28" s="63" t="n"/>
    </row>
    <row r="29">
      <c r="A29" s="61" t="inlineStr">
        <is>
          <t>Renovaciones de aire</t>
        </is>
      </c>
      <c r="B29" s="62" t="inlineStr">
        <is>
          <t>N</t>
        </is>
      </c>
      <c r="C29" s="65" t="n">
        <v>12</v>
      </c>
      <c r="D29" s="62" t="inlineStr">
        <is>
          <t>ren/h</t>
        </is>
      </c>
      <c r="E29" s="61" t="inlineStr">
        <is>
          <t>Ver sección 5. NORMATIVA</t>
        </is>
      </c>
      <c r="F29" s="63" t="n"/>
    </row>
    <row r="30">
      <c r="A30" s="61" t="inlineStr">
        <is>
          <t>Presión total estimada del ventilador</t>
        </is>
      </c>
      <c r="B30" s="62" t="inlineStr">
        <is>
          <t>ΔP</t>
        </is>
      </c>
      <c r="C30" s="65" t="n">
        <v>190</v>
      </c>
      <c r="D30" s="62" t="inlineStr">
        <is>
          <t>Pa</t>
        </is>
      </c>
      <c r="E30" s="61" t="inlineStr">
        <is>
          <t>Escenario MERV cargado (ver sección 6. ESCENARIOS DE FILTRACIÓN)</t>
        </is>
      </c>
      <c r="F30" s="63" t="n"/>
    </row>
    <row r="31">
      <c r="A31" s="61" t="inlineStr">
        <is>
          <t>Eficiencia total del ventilador</t>
        </is>
      </c>
      <c r="B31" s="62" t="inlineStr">
        <is>
          <t>η</t>
        </is>
      </c>
      <c r="C31" s="65" t="n">
        <v>0.6</v>
      </c>
      <c r="D31" s="62" t="inlineStr">
        <is>
          <t>-</t>
        </is>
      </c>
      <c r="E31" s="61" t="inlineStr">
        <is>
          <t>Centrífugo/axial típico</t>
        </is>
      </c>
      <c r="F31" s="63" t="n"/>
    </row>
    <row r="32">
      <c r="A32" s="61" t="inlineStr">
        <is>
          <t>Velocidad en boca del ventilador</t>
        </is>
      </c>
      <c r="B32" s="62" t="inlineStr">
        <is>
          <t>v_vent</t>
        </is>
      </c>
      <c r="C32" s="65" t="n">
        <v>8</v>
      </c>
      <c r="D32" s="62" t="inlineStr">
        <is>
          <t>m/s</t>
        </is>
      </c>
      <c r="E32" s="61" t="inlineStr">
        <is>
          <t>Para CFD, rango 6–12 m/s</t>
        </is>
      </c>
      <c r="F32" s="63" t="n"/>
    </row>
    <row r="33">
      <c r="A33" s="61" t="inlineStr">
        <is>
          <t>Velocidad de exfiltración en rejillas</t>
        </is>
      </c>
      <c r="B33" s="62" t="inlineStr">
        <is>
          <t>v_sal</t>
        </is>
      </c>
      <c r="C33" s="65" t="n">
        <v>3</v>
      </c>
      <c r="D33" s="62" t="inlineStr">
        <is>
          <t>m/s</t>
        </is>
      </c>
      <c r="E33" s="61" t="inlineStr">
        <is>
          <t>Rango recomendado 2.5–4.0 m/s</t>
        </is>
      </c>
      <c r="F33" s="63" t="n"/>
    </row>
    <row r="34">
      <c r="A34" s="61" t="inlineStr">
        <is>
          <t>Número de rejillas de salida</t>
        </is>
      </c>
      <c r="B34" s="62" t="inlineStr">
        <is>
          <t>n_rej</t>
        </is>
      </c>
      <c r="C34" s="65" t="n">
        <v>3</v>
      </c>
      <c r="D34" s="62" t="inlineStr">
        <is>
          <t>unid.</t>
        </is>
      </c>
      <c r="E34" s="61" t="inlineStr">
        <is>
          <t>Distribución propuesta</t>
        </is>
      </c>
      <c r="F34" s="63" t="n"/>
    </row>
    <row r="35">
      <c r="A35" s="61" t="inlineStr">
        <is>
          <t>Proporción ancho/alto rejilla</t>
        </is>
      </c>
      <c r="B35" s="62" t="inlineStr">
        <is>
          <t>prop</t>
        </is>
      </c>
      <c r="C35" s="65" t="n">
        <v>0.95</v>
      </c>
      <c r="D35" s="62" t="inlineStr">
        <is>
          <t>-</t>
        </is>
      </c>
      <c r="E35" s="61" t="inlineStr">
        <is>
          <t>353 mm × 336 mm ≈ 0.95</t>
        </is>
      </c>
      <c r="F35" s="63" t="n"/>
    </row>
    <row r="36">
      <c r="A36" s="61" t="inlineStr">
        <is>
          <t>Densidad del aire</t>
        </is>
      </c>
      <c r="B36" s="62" t="inlineStr">
        <is>
          <t>rho</t>
        </is>
      </c>
      <c r="C36" s="65" t="n">
        <v>0.88</v>
      </c>
      <c r="D36" s="62" t="inlineStr">
        <is>
          <t>kg/m³</t>
        </is>
      </c>
      <c r="E36" s="61" t="inlineStr">
        <is>
          <t>Bases de diseño (Cajicá, 2 558 msnm, P_atm = 74.1 kPa, aire 20 °C)</t>
        </is>
      </c>
      <c r="F36" s="63" t="n"/>
    </row>
    <row r="37">
      <c r="A37" s="61" t="inlineStr">
        <is>
          <t>Coeficiente de descarga orificio</t>
        </is>
      </c>
      <c r="B37" s="62" t="inlineStr">
        <is>
          <t>Cd</t>
        </is>
      </c>
      <c r="C37" s="65" t="n">
        <v>0.6</v>
      </c>
      <c r="D37" s="62" t="inlineStr">
        <is>
          <t>-</t>
        </is>
      </c>
      <c r="E37" s="61" t="inlineStr">
        <is>
          <t>Orificio borde afilado, ASHRAE Handbook Fundamentals</t>
        </is>
      </c>
      <c r="F37" s="63" t="n"/>
    </row>
    <row r="38">
      <c r="A38" s="61" t="inlineStr">
        <is>
          <t>Set-point presión diferencial</t>
        </is>
      </c>
      <c r="B38" s="62" t="inlineStr">
        <is>
          <t>ΔP_pos</t>
        </is>
      </c>
      <c r="C38" s="65" t="n">
        <v>25</v>
      </c>
      <c r="D38" s="62" t="inlineStr">
        <is>
          <t>Pa</t>
        </is>
      </c>
      <c r="E38" s="61" t="inlineStr">
        <is>
          <t>Presión positiva vs zona adyacente</t>
        </is>
      </c>
      <c r="F38" s="63" t="n"/>
    </row>
    <row r="40">
      <c r="A40" s="59" t="inlineStr">
        <is>
          <t>Notas:</t>
        </is>
      </c>
    </row>
    <row r="41">
      <c r="A41" s="64" t="inlineStr">
        <is>
          <t>• Modifique los valores en amarillo; todos los cálculos se actualizan automáticamente.</t>
        </is>
      </c>
    </row>
    <row r="42">
      <c r="A42" s="64" t="inlineStr">
        <is>
          <t>• Las fórmulas están visibles en la barra de fórmulas de cada celda.</t>
        </is>
      </c>
    </row>
    <row r="43">
      <c r="A43" s="64" t="inlineStr">
        <is>
          <t>• Unidades: 1 m³/min = 35.3147 CFM; 1 kW = 1.341 HP.</t>
        </is>
      </c>
    </row>
    <row r="45">
      <c r="A45" s="58" t="inlineStr">
        <is>
          <t>3. DESARROLLO DE CÁLCULOS</t>
        </is>
      </c>
    </row>
    <row r="47">
      <c r="A47" s="60" t="inlineStr">
        <is>
          <t>Paso</t>
        </is>
      </c>
      <c r="B47" s="60" t="inlineStr">
        <is>
          <t>Descripción</t>
        </is>
      </c>
      <c r="C47" s="60" t="inlineStr">
        <is>
          <t>Fórmula / Valor</t>
        </is>
      </c>
      <c r="D47" s="60" t="inlineStr">
        <is>
          <t>Resultado</t>
        </is>
      </c>
      <c r="E47" s="60" t="inlineStr">
        <is>
          <t>Unidad</t>
        </is>
      </c>
      <c r="F47" s="60" t="inlineStr">
        <is>
          <t>Referencia celda</t>
        </is>
      </c>
    </row>
    <row r="48">
      <c r="A48" s="62" t="inlineStr">
        <is>
          <t>1</t>
        </is>
      </c>
      <c r="B48" s="61" t="inlineStr">
        <is>
          <t>Caudal de aire volumétrico</t>
        </is>
      </c>
      <c r="C48" s="61" t="inlineStr">
        <is>
          <t>Q = V × N / 60</t>
        </is>
      </c>
      <c r="D48" s="66">
        <f>C28*C29/60</f>
        <v/>
      </c>
      <c r="E48" s="62" t="inlineStr">
        <is>
          <t>m³/min</t>
        </is>
      </c>
      <c r="F48" s="62">
        <f>D48</f>
        <v/>
      </c>
    </row>
    <row r="49">
      <c r="A49" s="62" t="inlineStr">
        <is>
          <t>2</t>
        </is>
      </c>
      <c r="B49" s="61" t="inlineStr">
        <is>
          <t>Caudal de aire en m³/h</t>
        </is>
      </c>
      <c r="C49" s="61" t="inlineStr">
        <is>
          <t>Q_h = Q × 60</t>
        </is>
      </c>
      <c r="D49" s="66">
        <f>D48*60</f>
        <v/>
      </c>
      <c r="E49" s="62" t="inlineStr">
        <is>
          <t>m³/h</t>
        </is>
      </c>
      <c r="F49" s="62">
        <f>D49</f>
        <v/>
      </c>
    </row>
    <row r="50">
      <c r="A50" s="62" t="inlineStr">
        <is>
          <t>3</t>
        </is>
      </c>
      <c r="B50" s="61" t="inlineStr">
        <is>
          <t>Caudal de aire en CFM</t>
        </is>
      </c>
      <c r="C50" s="61" t="inlineStr">
        <is>
          <t>Q_cfm = Q × 35.3147</t>
        </is>
      </c>
      <c r="D50" s="66">
        <f>D48*35.3147</f>
        <v/>
      </c>
      <c r="E50" s="62" t="inlineStr">
        <is>
          <t>CFM</t>
        </is>
      </c>
      <c r="F50" s="62">
        <f>D50</f>
        <v/>
      </c>
    </row>
    <row r="51">
      <c r="A51" s="62" t="inlineStr">
        <is>
          <t>4</t>
        </is>
      </c>
      <c r="B51" s="61" t="inlineStr">
        <is>
          <t>Caudal en m³/s</t>
        </is>
      </c>
      <c r="C51" s="61" t="inlineStr">
        <is>
          <t>Q_s = Q / 60</t>
        </is>
      </c>
      <c r="D51" s="66">
        <f>D48/60</f>
        <v/>
      </c>
      <c r="E51" s="62" t="inlineStr">
        <is>
          <t>m³/s</t>
        </is>
      </c>
      <c r="F51" s="62">
        <f>D51</f>
        <v/>
      </c>
    </row>
    <row r="52">
      <c r="A52" s="62" t="inlineStr">
        <is>
          <t>5</t>
        </is>
      </c>
      <c r="B52" s="61" t="inlineStr">
        <is>
          <t>Potencia teórica del ventilador</t>
        </is>
      </c>
      <c r="C52" s="61" t="inlineStr">
        <is>
          <t>P = Q_s × ΔP / (η × 1000)</t>
        </is>
      </c>
      <c r="D52" s="66">
        <f>D51*C30/(C31*1000)</f>
        <v/>
      </c>
      <c r="E52" s="62" t="inlineStr">
        <is>
          <t>kW</t>
        </is>
      </c>
      <c r="F52" s="62">
        <f>D52</f>
        <v/>
      </c>
    </row>
    <row r="53">
      <c r="A53" s="62" t="inlineStr">
        <is>
          <t>6</t>
        </is>
      </c>
      <c r="B53" s="61" t="inlineStr">
        <is>
          <t>Potencia en HP</t>
        </is>
      </c>
      <c r="C53" s="61" t="inlineStr">
        <is>
          <t>HP = P × 1.341</t>
        </is>
      </c>
      <c r="D53" s="66">
        <f>D52*1.341</f>
        <v/>
      </c>
      <c r="E53" s="62" t="inlineStr">
        <is>
          <t>HP</t>
        </is>
      </c>
      <c r="F53" s="62">
        <f>D53</f>
        <v/>
      </c>
    </row>
    <row r="54">
      <c r="A54" s="62" t="inlineStr">
        <is>
          <t>7</t>
        </is>
      </c>
      <c r="B54" s="61" t="inlineStr">
        <is>
          <t>Área de impulsión del ventilador</t>
        </is>
      </c>
      <c r="C54" s="61" t="inlineStr">
        <is>
          <t>A_vent = Q_s / v_vent</t>
        </is>
      </c>
      <c r="D54" s="66">
        <f>D51/C32</f>
        <v/>
      </c>
      <c r="E54" s="62" t="inlineStr">
        <is>
          <t>m²</t>
        </is>
      </c>
      <c r="F54" s="62">
        <f>D54</f>
        <v/>
      </c>
    </row>
    <row r="55">
      <c r="A55" s="62" t="inlineStr">
        <is>
          <t>8</t>
        </is>
      </c>
      <c r="B55" s="61" t="inlineStr">
        <is>
          <t>Diámetro equivalente del ventilador</t>
        </is>
      </c>
      <c r="C55" s="61" t="inlineStr">
        <is>
          <t>D = √(4×A_vent/π)</t>
        </is>
      </c>
      <c r="D55" s="66">
        <f>SQRT(4*D54/PI())</f>
        <v/>
      </c>
      <c r="E55" s="62" t="inlineStr">
        <is>
          <t>m</t>
        </is>
      </c>
      <c r="F55" s="62">
        <f>D55</f>
        <v/>
      </c>
    </row>
    <row r="56">
      <c r="A56" s="62" t="inlineStr">
        <is>
          <t>9</t>
        </is>
      </c>
      <c r="B56" s="61" t="inlineStr">
        <is>
          <t>Radio del ventilador</t>
        </is>
      </c>
      <c r="C56" s="61" t="inlineStr">
        <is>
          <t>r = D / 2</t>
        </is>
      </c>
      <c r="D56" s="66">
        <f>D55/2</f>
        <v/>
      </c>
      <c r="E56" s="62" t="inlineStr">
        <is>
          <t>m</t>
        </is>
      </c>
      <c r="F56" s="62">
        <f>D56</f>
        <v/>
      </c>
    </row>
    <row r="57">
      <c r="A57" s="62" t="inlineStr">
        <is>
          <t>10</t>
        </is>
      </c>
      <c r="B57" s="61" t="inlineStr">
        <is>
          <t>Radio del ventilador en mm</t>
        </is>
      </c>
      <c r="C57" s="61" t="inlineStr">
        <is>
          <t>r_mm = r × 1000</t>
        </is>
      </c>
      <c r="D57" s="66">
        <f>D56*1000</f>
        <v/>
      </c>
      <c r="E57" s="62" t="inlineStr">
        <is>
          <t>mm</t>
        </is>
      </c>
      <c r="F57" s="62">
        <f>D57</f>
        <v/>
      </c>
    </row>
    <row r="58">
      <c r="A58" s="62" t="inlineStr">
        <is>
          <t>11</t>
        </is>
      </c>
      <c r="B58" s="61" t="inlineStr">
        <is>
          <t>Área neta total de rejillas de salida</t>
        </is>
      </c>
      <c r="C58" s="61" t="inlineStr">
        <is>
          <t>A_exfil = Q_s / v_sal</t>
        </is>
      </c>
      <c r="D58" s="66">
        <f>D51/C33</f>
        <v/>
      </c>
      <c r="E58" s="62" t="inlineStr">
        <is>
          <t>m²</t>
        </is>
      </c>
      <c r="F58" s="62">
        <f>D58</f>
        <v/>
      </c>
    </row>
    <row r="59">
      <c r="A59" s="62" t="inlineStr">
        <is>
          <t>12</t>
        </is>
      </c>
      <c r="B59" s="61" t="inlineStr">
        <is>
          <t>Área neta por rejilla de salida</t>
        </is>
      </c>
      <c r="C59" s="61" t="inlineStr">
        <is>
          <t>A_rej = A_exfil / n_rej</t>
        </is>
      </c>
      <c r="D59" s="66">
        <f>D58/C34</f>
        <v/>
      </c>
      <c r="E59" s="62" t="inlineStr">
        <is>
          <t>m²</t>
        </is>
      </c>
      <c r="F59" s="62">
        <f>D59</f>
        <v/>
      </c>
    </row>
    <row r="60">
      <c r="A60" s="62" t="inlineStr">
        <is>
          <t>13</t>
        </is>
      </c>
      <c r="B60" s="61" t="inlineStr">
        <is>
          <t>Altura de rejilla (proporción dada)</t>
        </is>
      </c>
      <c r="C60" s="61" t="inlineStr">
        <is>
          <t>h = √(A_rej / prop)</t>
        </is>
      </c>
      <c r="D60" s="66">
        <f>SQRT(D59/C35)</f>
        <v/>
      </c>
      <c r="E60" s="62" t="inlineStr">
        <is>
          <t>m</t>
        </is>
      </c>
      <c r="F60" s="62">
        <f>D60</f>
        <v/>
      </c>
    </row>
    <row r="61">
      <c r="A61" s="62" t="inlineStr">
        <is>
          <t>14</t>
        </is>
      </c>
      <c r="B61" s="61" t="inlineStr">
        <is>
          <t>Ancho de rejilla</t>
        </is>
      </c>
      <c r="C61" s="61" t="inlineStr">
        <is>
          <t>w = A_rej / h</t>
        </is>
      </c>
      <c r="D61" s="66">
        <f>D59/D60</f>
        <v/>
      </c>
      <c r="E61" s="62" t="inlineStr">
        <is>
          <t>m</t>
        </is>
      </c>
      <c r="F61" s="62">
        <f>D61</f>
        <v/>
      </c>
    </row>
    <row r="62">
      <c r="A62" s="62" t="inlineStr">
        <is>
          <t>15</t>
        </is>
      </c>
      <c r="B62" s="61" t="inlineStr">
        <is>
          <t>Altura de rejilla en mm</t>
        </is>
      </c>
      <c r="C62" s="61" t="inlineStr">
        <is>
          <t>h_mm = h × 1000</t>
        </is>
      </c>
      <c r="D62" s="66">
        <f>D60*1000</f>
        <v/>
      </c>
      <c r="E62" s="62" t="inlineStr">
        <is>
          <t>mm</t>
        </is>
      </c>
      <c r="F62" s="62">
        <f>D62</f>
        <v/>
      </c>
    </row>
    <row r="63">
      <c r="A63" s="62" t="inlineStr">
        <is>
          <t>16</t>
        </is>
      </c>
      <c r="B63" s="61" t="inlineStr">
        <is>
          <t>Ancho de rejilla en mm</t>
        </is>
      </c>
      <c r="C63" s="61" t="inlineStr">
        <is>
          <t>w_mm = w × 1000</t>
        </is>
      </c>
      <c r="D63" s="66">
        <f>D61*1000</f>
        <v/>
      </c>
      <c r="E63" s="62" t="inlineStr">
        <is>
          <t>mm</t>
        </is>
      </c>
      <c r="F63" s="62">
        <f>D63</f>
        <v/>
      </c>
    </row>
    <row r="64">
      <c r="A64" s="62" t="inlineStr">
        <is>
          <t>17</t>
        </is>
      </c>
      <c r="B64" s="61" t="inlineStr">
        <is>
          <t>Presión diferencial sostenida (orificio)</t>
        </is>
      </c>
      <c r="C64" s="61" t="inlineStr">
        <is>
          <t>dP = (rho/2)×(Q_s/(Cd×A_exfil))²</t>
        </is>
      </c>
      <c r="D64" s="66">
        <f>C36/2*(D51/(C37*D58))^2</f>
        <v/>
      </c>
      <c r="E64" s="62" t="inlineStr">
        <is>
          <t>Pa</t>
        </is>
      </c>
      <c r="F64" s="62">
        <f>D64</f>
        <v/>
      </c>
    </row>
    <row r="65">
      <c r="A65" s="62" t="inlineStr">
        <is>
          <t>18</t>
        </is>
      </c>
      <c r="B65" s="61" t="inlineStr">
        <is>
          <t>Área total requerida para 25 Pa</t>
        </is>
      </c>
      <c r="C65" s="61" t="inlineStr">
        <is>
          <t>A_25 = Q_s/(Cd×√(2×25/rho))</t>
        </is>
      </c>
      <c r="D65" s="66">
        <f>D51/(C37*SQRT(2*25/C36))</f>
        <v/>
      </c>
      <c r="E65" s="62" t="inlineStr">
        <is>
          <t>m²</t>
        </is>
      </c>
      <c r="F65" s="62">
        <f>D65</f>
        <v/>
      </c>
    </row>
    <row r="67">
      <c r="A67" s="58" t="inlineStr">
        <is>
          <t>4. RESUMEN DE RESULTADOS DE DISEÑO</t>
        </is>
      </c>
    </row>
    <row r="69">
      <c r="A69" s="60" t="inlineStr">
        <is>
          <t>Parámetro</t>
        </is>
      </c>
      <c r="B69" s="60" t="inlineStr">
        <is>
          <t>Valor</t>
        </is>
      </c>
      <c r="C69" s="60" t="inlineStr">
        <is>
          <t>Unidad</t>
        </is>
      </c>
      <c r="D69" s="60" t="inlineStr">
        <is>
          <t>Observación</t>
        </is>
      </c>
      <c r="E69" s="60" t="n"/>
      <c r="F69" s="60" t="n"/>
    </row>
    <row r="70">
      <c r="A70" s="61" t="inlineStr">
        <is>
          <t>Caudal de diseño</t>
        </is>
      </c>
      <c r="B70" s="67">
        <f>D48</f>
        <v/>
      </c>
      <c r="C70" s="62" t="inlineStr">
        <is>
          <t>m³/min</t>
        </is>
      </c>
      <c r="D70" s="61" t="inlineStr">
        <is>
          <t>Caudal de impulsión requerido</t>
        </is>
      </c>
      <c r="E70" s="63" t="n"/>
      <c r="F70" s="63" t="n"/>
    </row>
    <row r="71">
      <c r="A71" s="61" t="inlineStr">
        <is>
          <t>Caudal de diseño</t>
        </is>
      </c>
      <c r="B71" s="67">
        <f>D49</f>
        <v/>
      </c>
      <c r="C71" s="62" t="inlineStr">
        <is>
          <t>m³/h</t>
        </is>
      </c>
      <c r="D71" s="61" t="inlineStr">
        <is>
          <t>Equivalente en metros cúbicos por hora</t>
        </is>
      </c>
      <c r="E71" s="63" t="n"/>
      <c r="F71" s="63" t="n"/>
    </row>
    <row r="72">
      <c r="A72" s="61" t="inlineStr">
        <is>
          <t>Caudal de diseño</t>
        </is>
      </c>
      <c r="B72" s="67">
        <f>D50</f>
        <v/>
      </c>
      <c r="C72" s="62" t="inlineStr">
        <is>
          <t>CFM</t>
        </is>
      </c>
      <c r="D72" s="61" t="inlineStr">
        <is>
          <t>Equivalente en pies cúbicos por minuto</t>
        </is>
      </c>
      <c r="E72" s="63" t="n"/>
      <c r="F72" s="63" t="n"/>
    </row>
    <row r="73">
      <c r="A73" s="61" t="inlineStr">
        <is>
          <t>Potencia teórica del ventilador</t>
        </is>
      </c>
      <c r="B73" s="67">
        <f>D52</f>
        <v/>
      </c>
      <c r="C73" s="62" t="inlineStr">
        <is>
          <t>kW</t>
        </is>
      </c>
      <c r="D73" s="61" t="inlineStr">
        <is>
          <t>Escenario MERV cargado a 190 Pa y η=0.60</t>
        </is>
      </c>
      <c r="E73" s="63" t="n"/>
      <c r="F73" s="63" t="n"/>
    </row>
    <row r="74">
      <c r="A74" s="61" t="inlineStr">
        <is>
          <t>Potencia teórica del ventilador</t>
        </is>
      </c>
      <c r="B74" s="67">
        <f>D53</f>
        <v/>
      </c>
      <c r="C74" s="62" t="inlineStr">
        <is>
          <t>HP</t>
        </is>
      </c>
      <c r="D74" s="61" t="inlineStr">
        <is>
          <t>Unidades imperiales</t>
        </is>
      </c>
      <c r="E74" s="63" t="n"/>
      <c r="F74" s="63" t="n"/>
    </row>
    <row r="75">
      <c r="A75" s="61" t="inlineStr">
        <is>
          <t>Potencia instalada recomendada</t>
        </is>
      </c>
      <c r="B75" s="67">
        <f>ROUNDUP(D53,0)</f>
        <v/>
      </c>
      <c r="C75" s="62" t="inlineStr">
        <is>
          <t>HP</t>
        </is>
      </c>
      <c r="D75" s="61" t="inlineStr">
        <is>
          <t>Motor comercial con margen (escenario MERV)</t>
        </is>
      </c>
      <c r="E75" s="63" t="n"/>
      <c r="F75" s="63" t="n"/>
    </row>
    <row r="76">
      <c r="A76" s="61" t="inlineStr">
        <is>
          <t>Área de impulsión del ventilador</t>
        </is>
      </c>
      <c r="B76" s="67">
        <f>D54</f>
        <v/>
      </c>
      <c r="C76" s="62" t="inlineStr">
        <is>
          <t>m²</t>
        </is>
      </c>
      <c r="D76" s="61" t="inlineStr">
        <is>
          <t>Boca del ventilador</t>
        </is>
      </c>
      <c r="E76" s="63" t="n"/>
      <c r="F76" s="63" t="n"/>
    </row>
    <row r="77">
      <c r="A77" s="61" t="inlineStr">
        <is>
          <t>Diámetro equivalente del ventilador</t>
        </is>
      </c>
      <c r="B77" s="67">
        <f>D55</f>
        <v/>
      </c>
      <c r="C77" s="62" t="inlineStr">
        <is>
          <t>m</t>
        </is>
      </c>
      <c r="D77" s="61" t="inlineStr">
        <is>
          <t>Para referencia</t>
        </is>
      </c>
      <c r="E77" s="63" t="n"/>
      <c r="F77" s="63" t="n"/>
    </row>
    <row r="78">
      <c r="A78" s="61" t="inlineStr">
        <is>
          <t>Radio del ventilador (CFD)</t>
        </is>
      </c>
      <c r="B78" s="67">
        <f>D57</f>
        <v/>
      </c>
      <c r="C78" s="62" t="inlineStr">
        <is>
          <t>mm</t>
        </is>
      </c>
      <c r="D78" s="61" t="inlineStr">
        <is>
          <t>Círculo de inyección</t>
        </is>
      </c>
      <c r="E78" s="63" t="n"/>
      <c r="F78" s="63" t="n"/>
    </row>
    <row r="79">
      <c r="A79" s="61" t="inlineStr">
        <is>
          <t>Velocidad de impulsión</t>
        </is>
      </c>
      <c r="B79" s="67">
        <f>C32</f>
        <v/>
      </c>
      <c r="C79" s="62" t="inlineStr">
        <is>
          <t>m/s</t>
        </is>
      </c>
      <c r="D79" s="61" t="inlineStr">
        <is>
          <t>Condición de entrada CFD</t>
        </is>
      </c>
      <c r="E79" s="63" t="n"/>
      <c r="F79" s="63" t="n"/>
    </row>
    <row r="80">
      <c r="A80" s="61" t="inlineStr">
        <is>
          <t>Área neta total de rejillas de salida</t>
        </is>
      </c>
      <c r="B80" s="67">
        <f>D58</f>
        <v/>
      </c>
      <c r="C80" s="62" t="inlineStr">
        <is>
          <t>m²</t>
        </is>
      </c>
      <c r="D80" s="61" t="inlineStr">
        <is>
          <t>A v=3 m/s</t>
        </is>
      </c>
      <c r="E80" s="63" t="n"/>
      <c r="F80" s="63" t="n"/>
    </row>
    <row r="81">
      <c r="A81" s="61" t="inlineStr">
        <is>
          <t>Número de rejillas de salida</t>
        </is>
      </c>
      <c r="B81" s="67">
        <f>C34</f>
        <v/>
      </c>
      <c r="C81" s="62" t="inlineStr">
        <is>
          <t>unid.</t>
        </is>
      </c>
      <c r="D81" s="61" t="inlineStr">
        <is>
          <t>Distribución propuesta</t>
        </is>
      </c>
      <c r="E81" s="63" t="n"/>
      <c r="F81" s="63" t="n"/>
    </row>
    <row r="82">
      <c r="A82" s="61" t="inlineStr">
        <is>
          <t>Área neta por rejilla de salida</t>
        </is>
      </c>
      <c r="B82" s="67">
        <f>D59</f>
        <v/>
      </c>
      <c r="C82" s="62" t="inlineStr">
        <is>
          <t>m²</t>
        </is>
      </c>
      <c r="D82" s="61" t="inlineStr">
        <is>
          <t>Cada rejilla</t>
        </is>
      </c>
      <c r="E82" s="63" t="n"/>
      <c r="F82" s="63" t="n"/>
    </row>
    <row r="83">
      <c r="A83" s="61" t="inlineStr">
        <is>
          <t>Altura de rejilla de salida</t>
        </is>
      </c>
      <c r="B83" s="67">
        <f>D62</f>
        <v/>
      </c>
      <c r="C83" s="62" t="inlineStr">
        <is>
          <t>mm</t>
        </is>
      </c>
      <c r="D83" s="61" t="inlineStr">
        <is>
          <t>Dimensiones para CFD</t>
        </is>
      </c>
      <c r="E83" s="63" t="n"/>
      <c r="F83" s="63" t="n"/>
    </row>
    <row r="84">
      <c r="A84" s="61" t="inlineStr">
        <is>
          <t>Ancho de rejilla de salida</t>
        </is>
      </c>
      <c r="B84" s="67">
        <f>D63</f>
        <v/>
      </c>
      <c r="C84" s="62" t="inlineStr">
        <is>
          <t>mm</t>
        </is>
      </c>
      <c r="D84" s="61" t="inlineStr">
        <is>
          <t>Dimensiones para CFD</t>
        </is>
      </c>
      <c r="E84" s="63" t="n"/>
      <c r="F84" s="63" t="n"/>
    </row>
    <row r="85">
      <c r="A85" s="61" t="inlineStr">
        <is>
          <t>Velocidad de exfiltración</t>
        </is>
      </c>
      <c r="B85" s="67">
        <f>C33</f>
        <v/>
      </c>
      <c r="C85" s="62" t="inlineStr">
        <is>
          <t>m/s</t>
        </is>
      </c>
      <c r="D85" s="61" t="inlineStr">
        <is>
          <t>Condición de salida CFD (pressure outlet)</t>
        </is>
      </c>
      <c r="E85" s="63" t="n"/>
      <c r="F85" s="63" t="n"/>
    </row>
    <row r="86">
      <c r="A86" s="61" t="inlineStr">
        <is>
          <t>Presión diferencial sostenida (sin balancear)</t>
        </is>
      </c>
      <c r="B86" s="67">
        <f>D64</f>
        <v/>
      </c>
      <c r="C86" s="62" t="inlineStr">
        <is>
          <t>Pa</t>
        </is>
      </c>
      <c r="D86" s="61" t="inlineStr">
        <is>
          <t>Cierre orificio, Cd=0.6</t>
        </is>
      </c>
      <c r="E86" s="63" t="n"/>
      <c r="F86" s="63" t="n"/>
    </row>
    <row r="87">
      <c r="A87" s="61" t="inlineStr">
        <is>
          <t>Presión diferencial objetivo</t>
        </is>
      </c>
      <c r="B87" s="67" t="n">
        <v>25</v>
      </c>
      <c r="C87" s="62" t="inlineStr">
        <is>
          <t>Pa</t>
        </is>
      </c>
      <c r="D87" s="61" t="inlineStr">
        <is>
          <t>Con damper de alivio + control</t>
        </is>
      </c>
      <c r="E87" s="63" t="n"/>
      <c r="F87" s="63" t="n"/>
    </row>
    <row r="89">
      <c r="A89" s="58" t="inlineStr">
        <is>
          <t>5. SUSTENTACIÓN NORMATIVA — 12 RENOVACIONES/HORA</t>
        </is>
      </c>
    </row>
    <row r="91">
      <c r="A91" s="60" t="inlineStr">
        <is>
          <t>Norma / Guía</t>
        </is>
      </c>
      <c r="B91" s="60" t="inlineStr">
        <is>
          <t>Año / Edición</t>
        </is>
      </c>
      <c r="C91" s="60" t="inlineStr">
        <is>
          <t>Recomendación ACH</t>
        </is>
      </c>
      <c r="D91" s="60" t="inlineStr">
        <is>
          <t>Observación</t>
        </is>
      </c>
      <c r="E91" s="60" t="n"/>
      <c r="F91" s="60" t="n"/>
    </row>
    <row r="92">
      <c r="A92" s="61" t="inlineStr">
        <is>
          <t>ASHRAE 170 — Ventilation of Health Care Facilities</t>
        </is>
      </c>
      <c r="B92" s="62" t="inlineStr">
        <is>
          <t>2021</t>
        </is>
      </c>
      <c r="C92" s="62" t="inlineStr">
        <is>
          <t>6–15 ACH</t>
        </is>
      </c>
      <c r="D92" s="61" t="inlineStr">
        <is>
          <t>Laboratorios clínicos/procedimiento</t>
        </is>
      </c>
      <c r="E92" s="63" t="n"/>
      <c r="F92" s="63" t="n"/>
    </row>
    <row r="93">
      <c r="A93" s="61" t="inlineStr">
        <is>
          <t>ASHRAE 62.1 — Ventilation for Acceptable IAQ</t>
        </is>
      </c>
      <c r="B93" s="62" t="inlineStr">
        <is>
          <t>2022</t>
        </is>
      </c>
      <c r="C93" s="62" t="inlineStr">
        <is>
          <t>Por ocupación y área</t>
        </is>
      </c>
      <c r="D93" s="61" t="inlineStr">
        <is>
          <t>Caudal mínimo de aire exterior</t>
        </is>
      </c>
      <c r="E93" s="63" t="n"/>
      <c r="F93" s="63" t="n"/>
    </row>
    <row r="94">
      <c r="A94" s="61" t="inlineStr">
        <is>
          <t>OSHA 29 CFR 1910.1450 — Laboratory Standard</t>
        </is>
      </c>
      <c r="B94" s="62" t="inlineStr">
        <is>
          <t>2012</t>
        </is>
      </c>
      <c r="C94" s="62" t="inlineStr">
        <is>
          <t>Según PEL</t>
        </is>
      </c>
      <c r="D94" s="61" t="inlineStr">
        <is>
          <t>Ventilación para control de exposición</t>
        </is>
      </c>
      <c r="E94" s="63" t="n"/>
      <c r="F94" s="63" t="n"/>
    </row>
    <row r="95">
      <c r="A95" s="61" t="inlineStr">
        <is>
          <t>NFPA 99 — Health Care Facilities Code</t>
        </is>
      </c>
      <c r="B95" s="62" t="inlineStr">
        <is>
          <t>2021</t>
        </is>
      </c>
      <c r="C95" s="62" t="inlineStr">
        <is>
          <t>Cumplimiento de sistemas</t>
        </is>
      </c>
      <c r="D95" s="61" t="inlineStr">
        <is>
          <t>Fiabilidad de sistemas de aire</t>
        </is>
      </c>
      <c r="E95" s="63" t="n"/>
      <c r="F95" s="63" t="n"/>
    </row>
    <row r="96">
      <c r="A96" s="61" t="inlineStr">
        <is>
          <t>WHO — Laboratory Biosafety Manual (BSL-2)</t>
        </is>
      </c>
      <c r="B96" s="62" t="inlineStr">
        <is>
          <t>2004</t>
        </is>
      </c>
      <c r="C96" s="62" t="inlineStr">
        <is>
          <t>6–12 ACH</t>
        </is>
      </c>
      <c r="D96" s="61" t="inlineStr">
        <is>
          <t>12 ACH = límite superior BSL-2</t>
        </is>
      </c>
      <c r="E96" s="63" t="n"/>
      <c r="F96" s="63" t="n"/>
    </row>
    <row r="97">
      <c r="A97" s="61" t="inlineStr">
        <is>
          <t>WHO — Laboratory Biosafety Manual (BSL-3)</t>
        </is>
      </c>
      <c r="B97" s="62" t="inlineStr">
        <is>
          <t>2004</t>
        </is>
      </c>
      <c r="C97" s="62" t="inlineStr">
        <is>
          <t>12–15 ACH</t>
        </is>
      </c>
      <c r="D97" s="61" t="inlineStr">
        <is>
          <t>12 ACH = umbral inferior BSL-3</t>
        </is>
      </c>
      <c r="E97" s="63" t="n"/>
      <c r="F97" s="63" t="n"/>
    </row>
    <row r="98">
      <c r="A98" s="61" t="inlineStr">
        <is>
          <t>NIH — Design Requirements Manual</t>
        </is>
      </c>
      <c r="B98" s="62" t="inlineStr">
        <is>
          <t>2023</t>
        </is>
      </c>
      <c r="C98" s="62" t="inlineStr">
        <is>
          <t>10–12 ACH</t>
        </is>
      </c>
      <c r="D98" s="61" t="inlineStr">
        <is>
          <t>Punto de diseño para laboratorios biomédicos</t>
        </is>
      </c>
      <c r="E98" s="63" t="n"/>
      <c r="F98" s="63" t="n"/>
    </row>
    <row r="99">
      <c r="A99" s="61" t="inlineStr">
        <is>
          <t>ASHRAE Handbook — Fundamentals</t>
        </is>
      </c>
      <c r="B99" s="62" t="inlineStr">
        <is>
          <t>2021</t>
        </is>
      </c>
      <c r="C99" s="62" t="inlineStr">
        <is>
          <t>—</t>
        </is>
      </c>
      <c r="D99" s="61" t="inlineStr">
        <is>
          <t>Coeficiente de descarga de orificios (Cd)</t>
        </is>
      </c>
      <c r="E99" s="63" t="n"/>
      <c r="F99" s="63" t="n"/>
    </row>
    <row r="100">
      <c r="A100" s="61" t="inlineStr">
        <is>
          <t>RETIE (Colombia)</t>
        </is>
      </c>
      <c r="B100" s="62" t="inlineStr">
        <is>
          <t>vigente</t>
        </is>
      </c>
      <c r="C100" s="62" t="inlineStr">
        <is>
          <t>—</t>
        </is>
      </c>
      <c r="D100" s="61" t="inlineStr">
        <is>
          <t>Seguridad eléctrica del motor del ventilador</t>
        </is>
      </c>
      <c r="E100" s="63" t="n"/>
      <c r="F100" s="63" t="n"/>
    </row>
    <row r="101">
      <c r="A101" s="61" t="inlineStr">
        <is>
          <t>NTC 2050 (Colombia)</t>
        </is>
      </c>
      <c r="B101" s="62" t="inlineStr">
        <is>
          <t>vigente</t>
        </is>
      </c>
      <c r="C101" s="62" t="inlineStr">
        <is>
          <t>—</t>
        </is>
      </c>
      <c r="D101" s="61" t="inlineStr">
        <is>
          <t>Circuitos y protecciones eléctricas</t>
        </is>
      </c>
      <c r="E101" s="63" t="n"/>
      <c r="F101" s="63" t="n"/>
    </row>
    <row r="102">
      <c r="A102" s="61" t="inlineStr">
        <is>
          <t>Resolución 0312/2019 MinSalud (Colombia)</t>
        </is>
      </c>
      <c r="B102" s="62" t="inlineStr">
        <is>
          <t>2019</t>
        </is>
      </c>
      <c r="C102" s="62" t="inlineStr">
        <is>
          <t>—</t>
        </is>
      </c>
      <c r="D102" s="61" t="inlineStr">
        <is>
          <t>Habilitación de servicios de salud (si aplica)</t>
        </is>
      </c>
      <c r="E102" s="63" t="n"/>
      <c r="F102" s="63" t="n"/>
    </row>
    <row r="104">
      <c r="A104" s="59" t="inlineStr">
        <is>
          <t>Conclusión</t>
        </is>
      </c>
    </row>
    <row r="105">
      <c r="A105" s="64" t="inlineStr">
        <is>
          <t>La selección de 12 renovaciones de aire por hora está sustentada por las guías internacionales de bioseguridad (WHO BSL-2/BSL-3, NIH DRM) y los estándares de ventilación de ASHRAE para instalaciones de salud. El marco regulatorio local (RETIE, NTC 2050, Resolución 0312/2019) aplica a la infraestructura y seguridad eléctrica del equipo; no existe norma colombiana que fije un valor de ACH distinto para este caso.</t>
        </is>
      </c>
    </row>
    <row r="106"/>
    <row r="107"/>
    <row r="109">
      <c r="A109" s="58" t="inlineStr">
        <is>
          <t>6. ESCENARIOS DE FILTRACIÓN Y MOTOR RECOMENDADO</t>
        </is>
      </c>
    </row>
    <row r="110">
      <c r="A110" s="64" t="inlineStr">
        <is>
          <t>ΔP_vent total = ΔP_filtro + ΔP_offset (25 Pa) + ΔP_rejillas (11 Pa). El caudal Q_s se toma del paso 4 de la sección 3 (celda D51). Sitio: Cajicá, Cundinamarca (2 558 msnm, ρ = 0.88 kg/m³).</t>
        </is>
      </c>
    </row>
    <row r="112">
      <c r="A112" s="60" t="inlineStr">
        <is>
          <t>Escenario de filtración</t>
        </is>
      </c>
      <c r="B112" s="60" t="inlineStr">
        <is>
          <t>ΔP filtro (Pa)</t>
        </is>
      </c>
      <c r="C112" s="60" t="inlineStr">
        <is>
          <t>ΔP vent total (Pa)</t>
        </is>
      </c>
      <c r="D112" s="60" t="inlineStr">
        <is>
          <t>P teórica (kW)</t>
        </is>
      </c>
      <c r="E112" s="60" t="inlineStr">
        <is>
          <t>P teórica (HP)</t>
        </is>
      </c>
      <c r="F112" s="60" t="inlineStr">
        <is>
          <t>Motor recomendado (HP)</t>
        </is>
      </c>
    </row>
    <row r="113">
      <c r="A113" s="61" t="inlineStr">
        <is>
          <t>MERV 13-14 limpio</t>
        </is>
      </c>
      <c r="B113" s="68" t="n">
        <v>59</v>
      </c>
      <c r="C113" s="68">
        <f>B113+25+11</f>
        <v/>
      </c>
      <c r="D113" s="69">
        <f>D51*C113/(0.6*1000)</f>
        <v/>
      </c>
      <c r="E113" s="69">
        <f>D113*1.341</f>
        <v/>
      </c>
      <c r="F113" s="68">
        <f>ROUNDUP(E113,0)</f>
        <v/>
      </c>
    </row>
    <row r="114">
      <c r="A114" s="61" t="inlineStr">
        <is>
          <t>MERV 13-14 cargado (diseño)</t>
        </is>
      </c>
      <c r="B114" s="68" t="n">
        <v>154</v>
      </c>
      <c r="C114" s="68">
        <f>B114+25+11</f>
        <v/>
      </c>
      <c r="D114" s="69">
        <f>D51*C114/(0.6*1000)</f>
        <v/>
      </c>
      <c r="E114" s="69">
        <f>D114*1.341</f>
        <v/>
      </c>
      <c r="F114" s="68">
        <f>ROUNDUP(E114,0)</f>
        <v/>
      </c>
    </row>
    <row r="115">
      <c r="A115" s="61" t="inlineStr">
        <is>
          <t>HEPA H13 limpio (referencia histórica — no aplica)</t>
        </is>
      </c>
      <c r="B115" s="68" t="n">
        <v>250</v>
      </c>
      <c r="C115" s="68">
        <f>B115+25+11</f>
        <v/>
      </c>
      <c r="D115" s="69">
        <f>D51*C115/(0.6*1000)</f>
        <v/>
      </c>
      <c r="E115" s="69">
        <f>D115*1.341</f>
        <v/>
      </c>
      <c r="F115" s="68">
        <f>ROUNDUP(E115,0)</f>
        <v/>
      </c>
    </row>
    <row r="116">
      <c r="A116" s="61" t="inlineStr">
        <is>
          <t>HEPA H13 cargado (referencia histórica — no aplica)</t>
        </is>
      </c>
      <c r="B116" s="68" t="n">
        <v>600</v>
      </c>
      <c r="C116" s="68">
        <f>B116+25+11</f>
        <v/>
      </c>
      <c r="D116" s="69">
        <f>D51*C116/(0.6*1000)</f>
        <v/>
      </c>
      <c r="E116" s="69">
        <f>D116*1.341</f>
        <v/>
      </c>
      <c r="F116" s="68">
        <f>ROUNDUP(E116,0)</f>
        <v/>
      </c>
    </row>
    <row r="118">
      <c r="A118" s="59" t="inlineStr">
        <is>
          <t>Nota:</t>
        </is>
      </c>
    </row>
    <row r="119">
      <c r="A119" s="64" t="inlineStr">
        <is>
          <t>El motor instalado de 1.0 HP TEFC anticorrosivo corresponde al escenario MERV 13-14 cargado, que es el punto de diseño. Los escenarios HEPA son solo referencia histórica: el laboratorio de análisis industrial NO requiere HEPA. Para selección de ventilador en catálogo (ρ = 1.2 kg/m³), usar el punto equivalente 3 840 m³/h @ 260 Pa (diseño) o 130 Pa (limpio). La potencia se recalcula automáticamente si cambia el caudal en la sección 3. DESARROLLO DE CÁLCULOS.</t>
        </is>
      </c>
    </row>
    <row r="120"/>
    <row r="121"/>
    <row r="123">
      <c r="A123" s="58" t="inlineStr">
        <is>
          <t>7. VISTA RÁPIDA — RESULTADOS (FÓRMULAS VIVAS)</t>
        </is>
      </c>
    </row>
    <row r="125">
      <c r="A125" s="60" t="inlineStr">
        <is>
          <t>Parámetro</t>
        </is>
      </c>
      <c r="B125" s="60" t="inlineStr">
        <is>
          <t>Valor</t>
        </is>
      </c>
      <c r="C125" s="60" t="inlineStr">
        <is>
          <t>Unidad</t>
        </is>
      </c>
      <c r="D125" s="60" t="inlineStr">
        <is>
          <t>Observación</t>
        </is>
      </c>
      <c r="E125" s="60" t="n"/>
      <c r="F125" s="60" t="n"/>
    </row>
    <row r="126">
      <c r="A126" s="61" t="inlineStr">
        <is>
          <t>Caudal de diseño</t>
        </is>
      </c>
      <c r="B126" s="67">
        <f>D48</f>
        <v/>
      </c>
      <c r="C126" s="62" t="inlineStr">
        <is>
          <t>m³/min</t>
        </is>
      </c>
      <c r="D126" s="61" t="inlineStr">
        <is>
          <t>Caudal de impulsión requerido</t>
        </is>
      </c>
      <c r="E126" s="63" t="n"/>
      <c r="F126" s="63" t="n"/>
    </row>
    <row r="127">
      <c r="A127" s="61" t="inlineStr">
        <is>
          <t>Caudal de diseño</t>
        </is>
      </c>
      <c r="B127" s="67">
        <f>D49</f>
        <v/>
      </c>
      <c r="C127" s="62" t="inlineStr">
        <is>
          <t>m³/h</t>
        </is>
      </c>
      <c r="D127" s="61" t="inlineStr">
        <is>
          <t>Equivalente en metros cúbicos por hora</t>
        </is>
      </c>
      <c r="E127" s="63" t="n"/>
      <c r="F127" s="63" t="n"/>
    </row>
    <row r="128">
      <c r="A128" s="61" t="inlineStr">
        <is>
          <t>Caudal de diseño</t>
        </is>
      </c>
      <c r="B128" s="67">
        <f>D50</f>
        <v/>
      </c>
      <c r="C128" s="62" t="inlineStr">
        <is>
          <t>CFM</t>
        </is>
      </c>
      <c r="D128" s="61" t="inlineStr">
        <is>
          <t>Equivalente en pies cúbicos por minuto</t>
        </is>
      </c>
      <c r="E128" s="63" t="n"/>
      <c r="F128" s="63" t="n"/>
    </row>
    <row r="129">
      <c r="A129" s="61" t="inlineStr">
        <is>
          <t>Potencia teórica del ventilador</t>
        </is>
      </c>
      <c r="B129" s="67">
        <f>D52</f>
        <v/>
      </c>
      <c r="C129" s="62" t="inlineStr">
        <is>
          <t>kW</t>
        </is>
      </c>
      <c r="D129" s="61" t="inlineStr">
        <is>
          <t>Escenario MERV cargado a 190 Pa</t>
        </is>
      </c>
      <c r="E129" s="63" t="n"/>
      <c r="F129" s="63" t="n"/>
    </row>
    <row r="130">
      <c r="A130" s="61" t="inlineStr">
        <is>
          <t>Potencia teórica del ventilador</t>
        </is>
      </c>
      <c r="B130" s="67">
        <f>D53</f>
        <v/>
      </c>
      <c r="C130" s="62" t="inlineStr">
        <is>
          <t>HP</t>
        </is>
      </c>
      <c r="D130" s="61" t="inlineStr">
        <is>
          <t>Unidades imperiales</t>
        </is>
      </c>
      <c r="E130" s="63" t="n"/>
      <c r="F130" s="63" t="n"/>
    </row>
    <row r="131">
      <c r="A131" s="61" t="inlineStr">
        <is>
          <t>Potencia instalada recomendada</t>
        </is>
      </c>
      <c r="B131" s="67">
        <f>ROUNDUP(D53,0)</f>
        <v/>
      </c>
      <c r="C131" s="62" t="inlineStr">
        <is>
          <t>HP</t>
        </is>
      </c>
      <c r="D131" s="61" t="inlineStr">
        <is>
          <t>Motor comercial con margen</t>
        </is>
      </c>
      <c r="E131" s="63" t="n"/>
      <c r="F131" s="63" t="n"/>
    </row>
    <row r="132">
      <c r="A132" s="61" t="inlineStr">
        <is>
          <t>Área de impulsión del ventilador</t>
        </is>
      </c>
      <c r="B132" s="67">
        <f>D54</f>
        <v/>
      </c>
      <c r="C132" s="62" t="inlineStr">
        <is>
          <t>m²</t>
        </is>
      </c>
      <c r="D132" s="61" t="inlineStr">
        <is>
          <t>Boca del ventilador</t>
        </is>
      </c>
      <c r="E132" s="63" t="n"/>
      <c r="F132" s="63" t="n"/>
    </row>
    <row r="133">
      <c r="A133" s="61" t="inlineStr">
        <is>
          <t>Diámetro equivalente del ventilador</t>
        </is>
      </c>
      <c r="B133" s="67">
        <f>D55</f>
        <v/>
      </c>
      <c r="C133" s="62" t="inlineStr">
        <is>
          <t>m</t>
        </is>
      </c>
      <c r="D133" s="61" t="inlineStr">
        <is>
          <t>Para referencia</t>
        </is>
      </c>
      <c r="E133" s="63" t="n"/>
      <c r="F133" s="63" t="n"/>
    </row>
    <row r="134">
      <c r="A134" s="61" t="inlineStr">
        <is>
          <t>Radio del ventilador (CFD)</t>
        </is>
      </c>
      <c r="B134" s="67">
        <f>D57</f>
        <v/>
      </c>
      <c r="C134" s="62" t="inlineStr">
        <is>
          <t>mm</t>
        </is>
      </c>
      <c r="D134" s="61" t="inlineStr">
        <is>
          <t>Círculo de inyección</t>
        </is>
      </c>
      <c r="E134" s="63" t="n"/>
      <c r="F134" s="63" t="n"/>
    </row>
    <row r="135">
      <c r="A135" s="61" t="inlineStr">
        <is>
          <t>Velocidad de impulsión</t>
        </is>
      </c>
      <c r="B135" s="67">
        <f>C32</f>
        <v/>
      </c>
      <c r="C135" s="62" t="inlineStr">
        <is>
          <t>m/s</t>
        </is>
      </c>
      <c r="D135" s="61" t="inlineStr">
        <is>
          <t>Condición de entrada CFD</t>
        </is>
      </c>
      <c r="E135" s="63" t="n"/>
      <c r="F135" s="63" t="n"/>
    </row>
    <row r="136">
      <c r="A136" s="61" t="inlineStr">
        <is>
          <t>Área neta total de rejillas de salida</t>
        </is>
      </c>
      <c r="B136" s="67">
        <f>D58</f>
        <v/>
      </c>
      <c r="C136" s="62" t="inlineStr">
        <is>
          <t>m²</t>
        </is>
      </c>
      <c r="D136" s="61" t="inlineStr">
        <is>
          <t>A v=3 m/s</t>
        </is>
      </c>
      <c r="E136" s="63" t="n"/>
      <c r="F136" s="63" t="n"/>
    </row>
    <row r="137">
      <c r="A137" s="61" t="inlineStr">
        <is>
          <t>Número de rejillas de salida</t>
        </is>
      </c>
      <c r="B137" s="67">
        <f>C34</f>
        <v/>
      </c>
      <c r="C137" s="62" t="inlineStr">
        <is>
          <t>unid.</t>
        </is>
      </c>
      <c r="D137" s="61" t="inlineStr">
        <is>
          <t>Distribución propuesta</t>
        </is>
      </c>
      <c r="E137" s="63" t="n"/>
      <c r="F137" s="63" t="n"/>
    </row>
    <row r="138">
      <c r="A138" s="61" t="inlineStr">
        <is>
          <t>Área neta por rejilla de salida</t>
        </is>
      </c>
      <c r="B138" s="67">
        <f>D59</f>
        <v/>
      </c>
      <c r="C138" s="62" t="inlineStr">
        <is>
          <t>m²</t>
        </is>
      </c>
      <c r="D138" s="61" t="inlineStr">
        <is>
          <t>Cada rejilla</t>
        </is>
      </c>
      <c r="E138" s="63" t="n"/>
      <c r="F138" s="63" t="n"/>
    </row>
    <row r="139">
      <c r="A139" s="61" t="inlineStr">
        <is>
          <t>Altura de rejilla de salida</t>
        </is>
      </c>
      <c r="B139" s="67">
        <f>D62</f>
        <v/>
      </c>
      <c r="C139" s="62" t="inlineStr">
        <is>
          <t>mm</t>
        </is>
      </c>
      <c r="D139" s="61" t="inlineStr">
        <is>
          <t>Dimensiones para CFD</t>
        </is>
      </c>
      <c r="E139" s="63" t="n"/>
      <c r="F139" s="63" t="n"/>
    </row>
    <row r="140">
      <c r="A140" s="61" t="inlineStr">
        <is>
          <t>Ancho de rejilla de salida</t>
        </is>
      </c>
      <c r="B140" s="67">
        <f>D63</f>
        <v/>
      </c>
      <c r="C140" s="62" t="inlineStr">
        <is>
          <t>mm</t>
        </is>
      </c>
      <c r="D140" s="61" t="inlineStr">
        <is>
          <t>Dimensiones para CFD</t>
        </is>
      </c>
      <c r="E140" s="63" t="n"/>
      <c r="F140" s="63" t="n"/>
    </row>
    <row r="141">
      <c r="A141" s="61" t="inlineStr">
        <is>
          <t>Velocidad de exfiltración</t>
        </is>
      </c>
      <c r="B141" s="67">
        <f>C33</f>
        <v/>
      </c>
      <c r="C141" s="62" t="inlineStr">
        <is>
          <t>m/s</t>
        </is>
      </c>
      <c r="D141" s="61" t="inlineStr">
        <is>
          <t>Condición de salida CFD</t>
        </is>
      </c>
      <c r="E141" s="63" t="n"/>
      <c r="F141" s="63" t="n"/>
    </row>
    <row r="142">
      <c r="A142" s="61" t="inlineStr">
        <is>
          <t>Presión diferencial sostenida (sin balancear)</t>
        </is>
      </c>
      <c r="B142" s="67">
        <f>D64</f>
        <v/>
      </c>
      <c r="C142" s="62" t="inlineStr">
        <is>
          <t>Pa</t>
        </is>
      </c>
      <c r="D142" s="61" t="inlineStr">
        <is>
          <t>Cierre orificio, Cd=0.6</t>
        </is>
      </c>
      <c r="E142" s="63" t="n"/>
      <c r="F142" s="63" t="n"/>
    </row>
    <row r="143">
      <c r="A143" s="61" t="inlineStr">
        <is>
          <t>Presión diferencial objetivo</t>
        </is>
      </c>
      <c r="B143" s="67" t="n">
        <v>25</v>
      </c>
      <c r="C143" s="62" t="inlineStr">
        <is>
          <t>Pa</t>
        </is>
      </c>
      <c r="D143" s="61" t="inlineStr">
        <is>
          <t>Con damper de alivio + control</t>
        </is>
      </c>
      <c r="E143" s="63" t="n"/>
      <c r="F143" s="63" t="n"/>
    </row>
    <row r="145">
      <c r="A145" s="59" t="inlineStr">
        <is>
          <t>Nota:</t>
        </is>
      </c>
    </row>
    <row r="146">
      <c r="A146" s="64" t="inlineStr">
        <is>
          <t>Sección con fórmulas vivas que referencian las secciones 3. DESARROLLO DE CÁLCULOS y 2. PARÁMETROS DE ENTRADA de esta misma hoja. Si modifica las entradas, esta vista y la sección 4. RESULTADOS se actualizan automáticamente.</t>
        </is>
      </c>
    </row>
    <row r="147"/>
    <row r="148"/>
  </sheetData>
  <mergeCells count="101">
    <mergeCell ref="D76:F76"/>
    <mergeCell ref="A118:F118"/>
    <mergeCell ref="D75:F75"/>
    <mergeCell ref="N3:O3"/>
    <mergeCell ref="D102:F102"/>
    <mergeCell ref="D12:F12"/>
    <mergeCell ref="D143:F143"/>
    <mergeCell ref="D92:F92"/>
    <mergeCell ref="A20:F20"/>
    <mergeCell ref="N5:O5"/>
    <mergeCell ref="C2:L3"/>
    <mergeCell ref="E34:F34"/>
    <mergeCell ref="D133:F133"/>
    <mergeCell ref="D14:F14"/>
    <mergeCell ref="D142:F142"/>
    <mergeCell ref="D94:F94"/>
    <mergeCell ref="D129:F129"/>
    <mergeCell ref="E27:F27"/>
    <mergeCell ref="E36:F36"/>
    <mergeCell ref="A40:F40"/>
    <mergeCell ref="D128:F128"/>
    <mergeCell ref="D80:F80"/>
    <mergeCell ref="D96:F96"/>
    <mergeCell ref="B1:B5"/>
    <mergeCell ref="A41:F41"/>
    <mergeCell ref="A146:F148"/>
    <mergeCell ref="D17:F17"/>
    <mergeCell ref="D91:F91"/>
    <mergeCell ref="A105:F107"/>
    <mergeCell ref="E38:F38"/>
    <mergeCell ref="A42:F42"/>
    <mergeCell ref="D137:F137"/>
    <mergeCell ref="D93:F93"/>
    <mergeCell ref="N2:O2"/>
    <mergeCell ref="D74:F74"/>
    <mergeCell ref="D130:F130"/>
    <mergeCell ref="D83:F83"/>
    <mergeCell ref="D132:F132"/>
    <mergeCell ref="D85:F85"/>
    <mergeCell ref="A9:F9"/>
    <mergeCell ref="D69:F69"/>
    <mergeCell ref="D100:F100"/>
    <mergeCell ref="A11:F11"/>
    <mergeCell ref="N6:O6"/>
    <mergeCell ref="D86:F86"/>
    <mergeCell ref="D95:F95"/>
    <mergeCell ref="N4:O4"/>
    <mergeCell ref="D136:F136"/>
    <mergeCell ref="D97:F97"/>
    <mergeCell ref="A145:F145"/>
    <mergeCell ref="D78:F78"/>
    <mergeCell ref="D16:F16"/>
    <mergeCell ref="D87:F87"/>
    <mergeCell ref="E29:F29"/>
    <mergeCell ref="D71:F71"/>
    <mergeCell ref="D18:F18"/>
    <mergeCell ref="A109:F109"/>
    <mergeCell ref="E31:F31"/>
    <mergeCell ref="D73:F73"/>
    <mergeCell ref="D82:F82"/>
    <mergeCell ref="D138:F138"/>
    <mergeCell ref="A1:A5"/>
    <mergeCell ref="C1:L1"/>
    <mergeCell ref="D99:F99"/>
    <mergeCell ref="E32:F32"/>
    <mergeCell ref="A45:F45"/>
    <mergeCell ref="D84:F84"/>
    <mergeCell ref="D140:F140"/>
    <mergeCell ref="D101:F101"/>
    <mergeCell ref="A119:F121"/>
    <mergeCell ref="D77:F77"/>
    <mergeCell ref="D13:F13"/>
    <mergeCell ref="E33:F33"/>
    <mergeCell ref="D126:F126"/>
    <mergeCell ref="D141:F141"/>
    <mergeCell ref="D70:F70"/>
    <mergeCell ref="A89:F89"/>
    <mergeCell ref="D135:F135"/>
    <mergeCell ref="A104:F104"/>
    <mergeCell ref="D125:F125"/>
    <mergeCell ref="D72:F72"/>
    <mergeCell ref="E35:F35"/>
    <mergeCell ref="D134:F134"/>
    <mergeCell ref="A21:F23"/>
    <mergeCell ref="E28:F28"/>
    <mergeCell ref="D127:F127"/>
    <mergeCell ref="D15:F15"/>
    <mergeCell ref="N1:O1"/>
    <mergeCell ref="A43:F43"/>
    <mergeCell ref="D98:F98"/>
    <mergeCell ref="E30:F30"/>
    <mergeCell ref="D79:F79"/>
    <mergeCell ref="A67:F67"/>
    <mergeCell ref="D81:F81"/>
    <mergeCell ref="A123:F123"/>
    <mergeCell ref="C4:L6"/>
    <mergeCell ref="A110:F110"/>
    <mergeCell ref="D131:F131"/>
    <mergeCell ref="E37:F37"/>
    <mergeCell ref="D139:F139"/>
    <mergeCell ref="A25:F2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2026-07-24T12:50:23Z</dcterms:modified>
  <cp:lastModifiedBy>JAG DESIGN</cp:lastModifiedBy>
  <cp:lastPrinted>2026-07-23T18:36:47Z</cp:lastPrinted>
</cp:coreProperties>
</file>