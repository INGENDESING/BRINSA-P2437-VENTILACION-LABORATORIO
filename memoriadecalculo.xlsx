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MEMORIA DE CÁLCULO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000000000"/>
    <numFmt numFmtId="166" formatCode="0.0000"/>
    <numFmt numFmtId="167" formatCode="0.000"/>
  </numFmts>
  <fonts count="30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rgb="00375623"/>
      <sz val="28"/>
    </font>
    <font>
      <name val="Times New Roman"/>
      <sz val="28"/>
    </font>
    <font>
      <name val="Times New Roman"/>
      <b val="1"/>
      <sz val="28"/>
    </font>
    <font>
      <name val="Times New Roman"/>
      <b val="1"/>
      <color rgb="00006100"/>
      <sz val="28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6" fillId="0" borderId="1" applyAlignment="1" pivotButton="0" quotePrefix="0" xfId="1">
      <alignment horizontal="center"/>
    </xf>
    <xf numFmtId="0" fontId="23" fillId="0" borderId="2" pivotButton="0" quotePrefix="0" xfId="0"/>
    <xf numFmtId="0" fontId="23" fillId="0" borderId="4" pivotButton="0" quotePrefix="0" xfId="0"/>
    <xf numFmtId="0" fontId="26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23" fillId="0" borderId="3" pivotButton="0" quotePrefix="0" xfId="0"/>
    <xf numFmtId="0" fontId="23" fillId="0" borderId="0" pivotButton="0" quotePrefix="0" xfId="0"/>
    <xf numFmtId="0" fontId="23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23" fillId="0" borderId="7" pivotButton="0" quotePrefix="0" xfId="0"/>
    <xf numFmtId="0" fontId="23" fillId="0" borderId="8" pivotButton="0" quotePrefix="0" xfId="0"/>
    <xf numFmtId="0" fontId="27" fillId="0" borderId="1" applyAlignment="1" pivotButton="0" quotePrefix="0" xfId="1">
      <alignment horizontal="center" vertical="center"/>
    </xf>
    <xf numFmtId="0" fontId="23" fillId="0" borderId="9" pivotButton="0" quotePrefix="0" xfId="0"/>
    <xf numFmtId="0" fontId="23" fillId="0" borderId="10" pivotButton="0" quotePrefix="0" xfId="0"/>
    <xf numFmtId="0" fontId="28" fillId="0" borderId="0" applyAlignment="1" pivotButton="0" quotePrefix="0" xfId="1">
      <alignment horizontal="center"/>
    </xf>
    <xf numFmtId="0" fontId="0" fillId="0" borderId="3" pivotButton="0" quotePrefix="0" xfId="0"/>
    <xf numFmtId="0" fontId="29" fillId="4" borderId="1" applyAlignment="1" pivotButton="0" quotePrefix="0" xfId="1">
      <alignment horizontal="center" vertical="center" wrapText="1"/>
    </xf>
    <xf numFmtId="0" fontId="23" fillId="0" borderId="1" applyAlignment="1" pivotButton="0" quotePrefix="0" xfId="1">
      <alignment horizontal="center" vertical="center" wrapText="1"/>
    </xf>
    <xf numFmtId="0" fontId="28" fillId="0" borderId="1" applyAlignment="1" pivotButton="0" quotePrefix="0" xfId="1">
      <alignment horizontal="center" vertical="center" wrapText="1"/>
    </xf>
    <xf numFmtId="0" fontId="28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horizontal="left" vertical="center" wrapText="1" indent="4"/>
    </xf>
    <xf numFmtId="0" fontId="23" fillId="0" borderId="11" pivotButton="0" quotePrefix="0" xfId="0"/>
    <xf numFmtId="0" fontId="23" fillId="0" borderId="12" pivotButton="0" quotePrefix="0" xfId="0"/>
    <xf numFmtId="0" fontId="25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top" wrapText="1"/>
    </xf>
    <xf numFmtId="0" fontId="17" fillId="5" borderId="13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left" vertical="top" wrapText="1"/>
    </xf>
    <xf numFmtId="0" fontId="0" fillId="0" borderId="13" pivotButton="0" quotePrefix="0" xfId="0"/>
    <xf numFmtId="0" fontId="18" fillId="0" borderId="1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9" fillId="6" borderId="13" applyAlignment="1" pivotButton="0" quotePrefix="0" xfId="0">
      <alignment horizontal="center" vertical="center" wrapText="1"/>
    </xf>
    <xf numFmtId="0" fontId="19" fillId="6" borderId="13" pivotButton="0" quotePrefix="0" xfId="0"/>
    <xf numFmtId="0" fontId="17" fillId="7" borderId="13" applyAlignment="1" pivotButton="0" quotePrefix="0" xfId="0">
      <alignment horizontal="left" vertical="top" wrapText="1"/>
    </xf>
    <xf numFmtId="0" fontId="17" fillId="7" borderId="13" pivotButton="0" quotePrefix="0" xfId="0"/>
    <xf numFmtId="166" fontId="20" fillId="8" borderId="13" applyAlignment="1" pivotButton="0" quotePrefix="0" xfId="0">
      <alignment horizontal="center" vertical="center" wrapText="1"/>
    </xf>
    <xf numFmtId="166" fontId="20" fillId="8" borderId="13" pivotButton="0" quotePrefix="0" xfId="0"/>
    <xf numFmtId="1" fontId="20" fillId="8" borderId="13" applyAlignment="1" pivotButton="0" quotePrefix="0" xfId="0">
      <alignment horizontal="center" vertical="center" wrapText="1"/>
    </xf>
    <xf numFmtId="1" fontId="20" fillId="8" borderId="13" pivotButton="0" quotePrefix="0" xfId="0"/>
    <xf numFmtId="167" fontId="20" fillId="8" borderId="13" applyAlignment="1" pivotButton="0" quotePrefix="0" xfId="0">
      <alignment horizontal="center" vertical="center" wrapText="1"/>
    </xf>
    <xf numFmtId="167" fontId="20" fillId="8" borderId="13" pivotButton="0" quotePrefix="0" xfId="0"/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P2437-HV-CAL-001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MEMORIA DE CÁLCULO DEL SISTEMA DE VENTILACIÓN DEL LABORATORIO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5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13" customWidth="1" min="16" max="16"/>
    <col width="13" customWidth="1" min="17" max="17"/>
    <col width="13" customWidth="1" min="18" max="18"/>
    <col width="13" customWidth="1" min="20" max="20"/>
    <col width="13" customWidth="1" min="21" max="21"/>
    <col width="13" customWidth="1" min="22" max="22"/>
    <col width="13" customWidth="1" min="23" max="23"/>
    <col width="13" customWidth="1" min="25" max="25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9" max="89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4" max="104"/>
    <col width="13" customWidth="1" min="105" max="105"/>
    <col width="13" customWidth="1" min="106" max="106"/>
    <col width="13" customWidth="1" min="107" max="107"/>
    <col width="13" customWidth="1" min="109" max="109"/>
    <col width="13" customWidth="1" min="110" max="110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8" max="118"/>
    <col width="13" customWidth="1" min="119" max="119"/>
    <col width="13" customWidth="1" min="120" max="120"/>
    <col width="13" customWidth="1" min="121" max="121"/>
    <col width="13" customWidth="1" min="123" max="123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7" max="147"/>
    <col width="13" customWidth="1" min="148" max="148"/>
    <col width="13" customWidth="1" min="149" max="149"/>
    <col width="13" customWidth="1" min="150" max="150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9" ht="100" customHeight="1">
      <c r="A9" s="81" t="inlineStr">
        <is>
          <t>1. DATOS GENERALES — MEMORIA DE CÁLCULO, SISTEMA DE VENTILACIÓN</t>
        </is>
      </c>
    </row>
    <row r="10" ht="50" customHeight="1"/>
    <row r="11" ht="50" customHeight="1">
      <c r="A11" s="81" t="inlineStr">
        <is>
          <t>Información del proyecto</t>
        </is>
      </c>
    </row>
    <row r="12" ht="50" customHeight="1">
      <c r="A12" s="82" t="inlineStr">
        <is>
          <t>Concepto</t>
        </is>
      </c>
      <c r="B12" s="82" t="n"/>
      <c r="C12" s="82" t="n"/>
      <c r="D12" s="82" t="n"/>
      <c r="E12" s="82" t="inlineStr">
        <is>
          <t>Valor</t>
        </is>
      </c>
      <c r="F12" s="82" t="n"/>
      <c r="G12" s="82" t="n"/>
      <c r="H12" s="82" t="n"/>
      <c r="I12" s="82" t="inlineStr">
        <is>
          <t>Unidad</t>
        </is>
      </c>
      <c r="J12" s="82" t="n"/>
      <c r="K12" s="82" t="n"/>
      <c r="L12" s="82" t="n"/>
      <c r="M12" s="82" t="inlineStr">
        <is>
          <t>Observación</t>
        </is>
      </c>
      <c r="N12" s="82" t="n"/>
      <c r="O12" s="82" t="n"/>
    </row>
    <row r="13" ht="100" customHeight="1">
      <c r="A13" s="83" t="inlineStr">
        <is>
          <t>Nombre del proyecto</t>
        </is>
      </c>
      <c r="B13" s="84" t="n"/>
      <c r="C13" s="84" t="n"/>
      <c r="D13" s="84" t="n"/>
      <c r="E13" s="83" t="inlineStr">
        <is>
          <t>Laboratorio Brinsa</t>
        </is>
      </c>
      <c r="F13" s="84" t="n"/>
      <c r="G13" s="84" t="n"/>
      <c r="H13" s="84" t="n"/>
      <c r="I13" s="85" t="inlineStr">
        <is>
          <t>-</t>
        </is>
      </c>
      <c r="J13" s="84" t="n"/>
      <c r="K13" s="84" t="n"/>
      <c r="L13" s="84" t="n"/>
      <c r="M13" s="83" t="inlineStr">
        <is>
          <t>Ventilación por impulsión directa, descarga libre a atmósfera</t>
        </is>
      </c>
      <c r="N13" s="84" t="n"/>
      <c r="O13" s="84" t="n"/>
    </row>
    <row r="14" ht="100" customHeight="1">
      <c r="A14" s="83" t="inlineStr">
        <is>
          <t>Ubicación</t>
        </is>
      </c>
      <c r="B14" s="84" t="n"/>
      <c r="C14" s="84" t="n"/>
      <c r="D14" s="84" t="n"/>
      <c r="E14" s="83" t="inlineStr">
        <is>
          <t>C:\Users\ingen\OneDrive\Escritorio\HVAC\Calculos</t>
        </is>
      </c>
      <c r="F14" s="84" t="n"/>
      <c r="G14" s="84" t="n"/>
      <c r="H14" s="84" t="n"/>
      <c r="I14" s="85" t="inlineStr">
        <is>
          <t>-</t>
        </is>
      </c>
      <c r="J14" s="84" t="n"/>
      <c r="K14" s="84" t="n"/>
      <c r="L14" s="84" t="n"/>
      <c r="M14" s="83" t="inlineStr">
        <is>
          <t>Carpeta de cálculos del proyecto</t>
        </is>
      </c>
      <c r="N14" s="84" t="n"/>
      <c r="O14" s="84" t="n"/>
    </row>
    <row r="15" ht="50" customHeight="1">
      <c r="A15" s="83" t="inlineStr">
        <is>
          <t>Volumen efectivo del laboratorio (V)</t>
        </is>
      </c>
      <c r="B15" s="84" t="n"/>
      <c r="C15" s="84" t="n"/>
      <c r="D15" s="84" t="n"/>
      <c r="E15" s="83" t="inlineStr">
        <is>
          <t>320</t>
        </is>
      </c>
      <c r="F15" s="84" t="n"/>
      <c r="G15" s="84" t="n"/>
      <c r="H15" s="84" t="n"/>
      <c r="I15" s="85" t="inlineStr">
        <is>
          <t>m³</t>
        </is>
      </c>
      <c r="J15" s="84" t="n"/>
      <c r="K15" s="84" t="n"/>
      <c r="L15" s="84" t="n"/>
      <c r="M15" s="83" t="inlineStr">
        <is>
          <t>Medición / modelo 3D</t>
        </is>
      </c>
      <c r="N15" s="84" t="n"/>
      <c r="O15" s="84" t="n"/>
    </row>
    <row r="16" ht="100" customHeight="1">
      <c r="A16" s="83" t="inlineStr">
        <is>
          <t>Renovaciones de aire (N)</t>
        </is>
      </c>
      <c r="B16" s="84" t="n"/>
      <c r="C16" s="84" t="n"/>
      <c r="D16" s="84" t="n"/>
      <c r="E16" s="83" t="inlineStr">
        <is>
          <t>12</t>
        </is>
      </c>
      <c r="F16" s="84" t="n"/>
      <c r="G16" s="84" t="n"/>
      <c r="H16" s="84" t="n"/>
      <c r="I16" s="85" t="inlineStr">
        <is>
          <t>ren/h</t>
        </is>
      </c>
      <c r="J16" s="84" t="n"/>
      <c r="K16" s="84" t="n"/>
      <c r="L16" s="84" t="n"/>
      <c r="M16" s="83" t="inlineStr">
        <is>
          <t>Sustentado normativamente</t>
        </is>
      </c>
      <c r="N16" s="84" t="n"/>
      <c r="O16" s="84" t="n"/>
    </row>
    <row r="17" ht="150" customHeight="1">
      <c r="A17" s="83" t="inlineStr">
        <is>
          <t>Objetivo</t>
        </is>
      </c>
      <c r="B17" s="84" t="n"/>
      <c r="C17" s="84" t="n"/>
      <c r="D17" s="84" t="n"/>
      <c r="E17" s="83" t="inlineStr">
        <is>
          <t>Ventilación y filtración</t>
        </is>
      </c>
      <c r="F17" s="84" t="n"/>
      <c r="G17" s="84" t="n"/>
      <c r="H17" s="84" t="n"/>
      <c r="I17" s="85" t="inlineStr">
        <is>
          <t>-</t>
        </is>
      </c>
      <c r="J17" s="84" t="n"/>
      <c r="K17" s="84" t="n"/>
      <c r="L17" s="84" t="n"/>
      <c r="M17" s="83" t="inlineStr">
        <is>
          <t>12 ACH, MERV 13-14; sin presurización</t>
        </is>
      </c>
      <c r="N17" s="84" t="n"/>
      <c r="O17" s="84" t="n"/>
    </row>
    <row r="18" ht="350" customHeight="1">
      <c r="A18" s="83" t="inlineStr">
        <is>
          <t>Estrategia</t>
        </is>
      </c>
      <c r="B18" s="84" t="n"/>
      <c r="C18" s="84" t="n"/>
      <c r="D18" s="84" t="n"/>
      <c r="E18" s="83" t="inlineStr">
        <is>
          <t>Ventilador axial mural Ø560 mm + cubierta intemperie con filtración + rejillas de exfiltración</t>
        </is>
      </c>
      <c r="F18" s="84" t="n"/>
      <c r="G18" s="84" t="n"/>
      <c r="H18" s="84" t="n"/>
      <c r="I18" s="85" t="inlineStr">
        <is>
          <t>-</t>
        </is>
      </c>
      <c r="J18" s="84" t="n"/>
      <c r="K18" s="84" t="n"/>
      <c r="L18" s="84" t="n"/>
      <c r="M18" s="83" t="inlineStr">
        <is>
          <t>Sin ductos de impulsión; montaje uniforme con la planta</t>
        </is>
      </c>
      <c r="N18" s="84" t="n"/>
      <c r="O18" s="84" t="n"/>
    </row>
    <row r="19" ht="50" customHeight="1"/>
    <row r="20" ht="100" customHeight="1">
      <c r="A20" s="81" t="inlineStr">
        <is>
          <t>Objetivo del documento</t>
        </is>
      </c>
    </row>
    <row r="21" ht="300" customHeight="1">
      <c r="A21" s="86" t="inlineStr">
        <is>
          <t>Presentar de forma atómica, funcional y verificable el cálculo del caudal de aire, potencia del ventilador axial, área de impulsión del ventilador (sin ductos) y área/dimensiones de las rejillas de exfiltración para modelado CFD, con sustentación normativa.</t>
        </is>
      </c>
    </row>
    <row r="22" ht="50" customHeight="1"/>
    <row r="23" ht="50" customHeight="1"/>
    <row r="24" ht="50" customHeight="1"/>
    <row r="25" ht="100" customHeight="1">
      <c r="A25" s="81" t="inlineStr">
        <is>
          <t>2. PARÁMETROS DE ENTRADA</t>
        </is>
      </c>
    </row>
    <row r="26" ht="50" customHeight="1"/>
    <row r="27" ht="100" customHeight="1">
      <c r="A27" s="82" t="inlineStr">
        <is>
          <t>Parámetro</t>
        </is>
      </c>
      <c r="B27" s="82" t="n"/>
      <c r="C27" s="82" t="n"/>
      <c r="D27" s="82" t="inlineStr">
        <is>
          <t>Símbolo</t>
        </is>
      </c>
      <c r="E27" s="82" t="n"/>
      <c r="F27" s="82" t="n"/>
      <c r="G27" s="82" t="inlineStr">
        <is>
          <t>Valor</t>
        </is>
      </c>
      <c r="H27" s="82" t="n"/>
      <c r="I27" s="82" t="n"/>
      <c r="J27" s="82" t="inlineStr">
        <is>
          <t>Unidad</t>
        </is>
      </c>
      <c r="K27" s="82" t="n"/>
      <c r="L27" s="82" t="n"/>
      <c r="M27" s="82" t="inlineStr">
        <is>
          <t>Referencia / Nota</t>
        </is>
      </c>
      <c r="N27" s="82" t="n"/>
      <c r="O27" s="82" t="n"/>
    </row>
    <row r="28" ht="150" customHeight="1">
      <c r="A28" s="83" t="inlineStr">
        <is>
          <t>Volumen efectivo del laboratorio</t>
        </is>
      </c>
      <c r="B28" s="84" t="n"/>
      <c r="C28" s="84" t="n"/>
      <c r="D28" s="85" t="inlineStr">
        <is>
          <t>V</t>
        </is>
      </c>
      <c r="E28" s="84" t="n"/>
      <c r="F28" s="84" t="n"/>
      <c r="G28" s="87" t="n">
        <v>320</v>
      </c>
      <c r="H28" s="88" t="n"/>
      <c r="I28" s="88" t="n"/>
      <c r="J28" s="85" t="inlineStr">
        <is>
          <t>m³</t>
        </is>
      </c>
      <c r="K28" s="84" t="n"/>
      <c r="L28" s="84" t="n"/>
      <c r="M28" s="83" t="inlineStr">
        <is>
          <t>Medición directa o del modelo</t>
        </is>
      </c>
      <c r="N28" s="84" t="n"/>
      <c r="O28" s="84" t="n"/>
    </row>
    <row r="29" ht="100" customHeight="1">
      <c r="A29" s="83" t="inlineStr">
        <is>
          <t>Renovaciones de aire</t>
        </is>
      </c>
      <c r="B29" s="84" t="n"/>
      <c r="C29" s="84" t="n"/>
      <c r="D29" s="85" t="inlineStr">
        <is>
          <t>N</t>
        </is>
      </c>
      <c r="E29" s="84" t="n"/>
      <c r="F29" s="84" t="n"/>
      <c r="G29" s="87" t="n">
        <v>12</v>
      </c>
      <c r="H29" s="88" t="n"/>
      <c r="I29" s="88" t="n"/>
      <c r="J29" s="85" t="inlineStr">
        <is>
          <t>ren/h</t>
        </is>
      </c>
      <c r="K29" s="84" t="n"/>
      <c r="L29" s="84" t="n"/>
      <c r="M29" s="83" t="inlineStr">
        <is>
          <t>Ver sección 5. NORMATIVA</t>
        </is>
      </c>
      <c r="N29" s="84" t="n"/>
      <c r="O29" s="84" t="n"/>
    </row>
    <row r="30" ht="250" customHeight="1">
      <c r="A30" s="83" t="inlineStr">
        <is>
          <t>Presión total estimada del ventilador</t>
        </is>
      </c>
      <c r="B30" s="84" t="n"/>
      <c r="C30" s="84" t="n"/>
      <c r="D30" s="85" t="inlineStr">
        <is>
          <t>ΔP</t>
        </is>
      </c>
      <c r="E30" s="84" t="n"/>
      <c r="F30" s="84" t="n"/>
      <c r="G30" s="87" t="n">
        <v>165</v>
      </c>
      <c r="H30" s="88" t="n"/>
      <c r="I30" s="88" t="n"/>
      <c r="J30" s="85" t="inlineStr">
        <is>
          <t>Pa</t>
        </is>
      </c>
      <c r="K30" s="84" t="n"/>
      <c r="L30" s="84" t="n"/>
      <c r="M30" s="83" t="inlineStr">
        <is>
          <t>Escenario MERV cargado (ver sección 6. ESCENARIOS DE FILTRACIÓN)</t>
        </is>
      </c>
      <c r="N30" s="84" t="n"/>
      <c r="O30" s="84" t="n"/>
    </row>
    <row r="31" ht="200" customHeight="1">
      <c r="A31" s="83" t="inlineStr">
        <is>
          <t>Eficiencia total del ventilador</t>
        </is>
      </c>
      <c r="B31" s="84" t="n"/>
      <c r="C31" s="84" t="n"/>
      <c r="D31" s="85" t="inlineStr">
        <is>
          <t>η</t>
        </is>
      </c>
      <c r="E31" s="84" t="n"/>
      <c r="F31" s="84" t="n"/>
      <c r="G31" s="87" t="n">
        <v>0.55</v>
      </c>
      <c r="H31" s="88" t="n"/>
      <c r="I31" s="88" t="n"/>
      <c r="J31" s="85" t="inlineStr">
        <is>
          <t>-</t>
        </is>
      </c>
      <c r="K31" s="84" t="n"/>
      <c r="L31" s="84" t="n"/>
      <c r="M31" s="83" t="inlineStr">
        <is>
          <t>Axial típico (provisional; confirmar con catálogo)</t>
        </is>
      </c>
      <c r="N31" s="84" t="n"/>
      <c r="O31" s="84" t="n"/>
    </row>
    <row r="32" ht="150" customHeight="1">
      <c r="A32" s="83" t="inlineStr">
        <is>
          <t>Velocidad en boca del ventilador</t>
        </is>
      </c>
      <c r="B32" s="84" t="n"/>
      <c r="C32" s="84" t="n"/>
      <c r="D32" s="85" t="inlineStr">
        <is>
          <t>v_vent</t>
        </is>
      </c>
      <c r="E32" s="84" t="n"/>
      <c r="F32" s="84" t="n"/>
      <c r="G32" s="87" t="n">
        <v>8</v>
      </c>
      <c r="H32" s="88" t="n"/>
      <c r="I32" s="88" t="n"/>
      <c r="J32" s="85" t="inlineStr">
        <is>
          <t>m/s</t>
        </is>
      </c>
      <c r="K32" s="84" t="n"/>
      <c r="L32" s="84" t="n"/>
      <c r="M32" s="83" t="inlineStr">
        <is>
          <t>Para CFD, rango 6–12 m/s</t>
        </is>
      </c>
      <c r="N32" s="84" t="n"/>
      <c r="O32" s="84" t="n"/>
    </row>
    <row r="33" ht="150" customHeight="1">
      <c r="A33" s="83" t="inlineStr">
        <is>
          <t>Velocidad de exfiltración en rejillas</t>
        </is>
      </c>
      <c r="B33" s="84" t="n"/>
      <c r="C33" s="84" t="n"/>
      <c r="D33" s="85" t="inlineStr">
        <is>
          <t>v_sal</t>
        </is>
      </c>
      <c r="E33" s="84" t="n"/>
      <c r="F33" s="84" t="n"/>
      <c r="G33" s="87" t="n">
        <v>3</v>
      </c>
      <c r="H33" s="88" t="n"/>
      <c r="I33" s="88" t="n"/>
      <c r="J33" s="85" t="inlineStr">
        <is>
          <t>m/s</t>
        </is>
      </c>
      <c r="K33" s="84" t="n"/>
      <c r="L33" s="84" t="n"/>
      <c r="M33" s="83" t="inlineStr">
        <is>
          <t>Rango recomendado 2.5–4.0 m/s</t>
        </is>
      </c>
      <c r="N33" s="84" t="n"/>
      <c r="O33" s="84" t="n"/>
    </row>
    <row r="34" ht="100" customHeight="1">
      <c r="A34" s="83" t="inlineStr">
        <is>
          <t>Número de rejillas de salida</t>
        </is>
      </c>
      <c r="B34" s="84" t="n"/>
      <c r="C34" s="84" t="n"/>
      <c r="D34" s="85" t="inlineStr">
        <is>
          <t>n_rej</t>
        </is>
      </c>
      <c r="E34" s="84" t="n"/>
      <c r="F34" s="84" t="n"/>
      <c r="G34" s="87" t="n">
        <v>3</v>
      </c>
      <c r="H34" s="88" t="n"/>
      <c r="I34" s="88" t="n"/>
      <c r="J34" s="85" t="inlineStr">
        <is>
          <t>unid.</t>
        </is>
      </c>
      <c r="K34" s="84" t="n"/>
      <c r="L34" s="84" t="n"/>
      <c r="M34" s="83" t="inlineStr">
        <is>
          <t>Distribución propuesta</t>
        </is>
      </c>
      <c r="N34" s="84" t="n"/>
      <c r="O34" s="84" t="n"/>
    </row>
    <row r="35" ht="150" customHeight="1">
      <c r="A35" s="83" t="inlineStr">
        <is>
          <t>Proporción ancho/alto rejilla</t>
        </is>
      </c>
      <c r="B35" s="84" t="n"/>
      <c r="C35" s="84" t="n"/>
      <c r="D35" s="85" t="inlineStr">
        <is>
          <t>prop</t>
        </is>
      </c>
      <c r="E35" s="84" t="n"/>
      <c r="F35" s="84" t="n"/>
      <c r="G35" s="87" t="n">
        <v>0.95</v>
      </c>
      <c r="H35" s="88" t="n"/>
      <c r="I35" s="88" t="n"/>
      <c r="J35" s="85" t="inlineStr">
        <is>
          <t>-</t>
        </is>
      </c>
      <c r="K35" s="84" t="n"/>
      <c r="L35" s="84" t="n"/>
      <c r="M35" s="83" t="inlineStr">
        <is>
          <t>353 mm × 336 mm ≈ 0.95</t>
        </is>
      </c>
      <c r="N35" s="84" t="n"/>
      <c r="O35" s="84" t="n"/>
    </row>
    <row r="36" ht="250" customHeight="1">
      <c r="A36" s="83" t="inlineStr">
        <is>
          <t>Densidad del aire</t>
        </is>
      </c>
      <c r="B36" s="84" t="n"/>
      <c r="C36" s="84" t="n"/>
      <c r="D36" s="85" t="inlineStr">
        <is>
          <t>rho</t>
        </is>
      </c>
      <c r="E36" s="84" t="n"/>
      <c r="F36" s="84" t="n"/>
      <c r="G36" s="87" t="n">
        <v>0.88</v>
      </c>
      <c r="H36" s="88" t="n"/>
      <c r="I36" s="88" t="n"/>
      <c r="J36" s="85" t="inlineStr">
        <is>
          <t>kg/m³</t>
        </is>
      </c>
      <c r="K36" s="84" t="n"/>
      <c r="L36" s="84" t="n"/>
      <c r="M36" s="83" t="inlineStr">
        <is>
          <t>Bases de diseño (Cajicá, 2 558 msnm, P_atm = 74.1 kPa, aire 20 °C)</t>
        </is>
      </c>
      <c r="N36" s="84" t="n"/>
      <c r="O36" s="84" t="n"/>
    </row>
    <row r="37" ht="200" customHeight="1">
      <c r="A37" s="83" t="inlineStr">
        <is>
          <t>Coeficiente de descarga orificio</t>
        </is>
      </c>
      <c r="B37" s="84" t="n"/>
      <c r="C37" s="84" t="n"/>
      <c r="D37" s="85" t="inlineStr">
        <is>
          <t>Cd</t>
        </is>
      </c>
      <c r="E37" s="84" t="n"/>
      <c r="F37" s="84" t="n"/>
      <c r="G37" s="87" t="n">
        <v>0.6</v>
      </c>
      <c r="H37" s="88" t="n"/>
      <c r="I37" s="88" t="n"/>
      <c r="J37" s="85" t="inlineStr">
        <is>
          <t>-</t>
        </is>
      </c>
      <c r="K37" s="84" t="n"/>
      <c r="L37" s="84" t="n"/>
      <c r="M37" s="83" t="inlineStr">
        <is>
          <t>Orificio borde afilado, ASHRAE Handbook Fundamentals</t>
        </is>
      </c>
      <c r="N37" s="84" t="n"/>
      <c r="O37" s="84" t="n"/>
    </row>
    <row r="38" ht="50" customHeight="1"/>
    <row r="39" ht="50" customHeight="1">
      <c r="A39" s="81" t="inlineStr">
        <is>
          <t>Notas:</t>
        </is>
      </c>
    </row>
    <row r="40" ht="300" customHeight="1">
      <c r="A40" s="86" t="inlineStr">
        <is>
          <t>• Modifique los valores en amarillo; todos los cálculos se actualizan automáticamente.</t>
        </is>
      </c>
    </row>
    <row r="41" ht="250" customHeight="1">
      <c r="A41" s="86" t="inlineStr">
        <is>
          <t>• Las fórmulas están visibles en la barra de fórmulas de cada celda.</t>
        </is>
      </c>
    </row>
    <row r="42" ht="200" customHeight="1">
      <c r="A42" s="86" t="inlineStr">
        <is>
          <t>• Unidades: 1 m³/min = 35.3147 CFM; 1 kW = 1.341 HP.</t>
        </is>
      </c>
    </row>
    <row r="43" ht="50" customHeight="1"/>
    <row r="44" ht="100" customHeight="1">
      <c r="A44" s="81" t="inlineStr">
        <is>
          <t>3. DESARROLLO DE CÁLCULOS</t>
        </is>
      </c>
    </row>
    <row r="45" ht="50" customHeight="1"/>
    <row r="46" ht="100" customHeight="1">
      <c r="A46" s="82" t="inlineStr">
        <is>
          <t>Paso</t>
        </is>
      </c>
      <c r="B46" s="82" t="n"/>
      <c r="C46" s="82" t="n"/>
      <c r="D46" s="82" t="inlineStr">
        <is>
          <t>Descripción</t>
        </is>
      </c>
      <c r="E46" s="82" t="n"/>
      <c r="F46" s="82" t="n"/>
      <c r="G46" s="82" t="inlineStr">
        <is>
          <t>Fórmula / Valor</t>
        </is>
      </c>
      <c r="H46" s="82" t="n"/>
      <c r="I46" s="82" t="n"/>
      <c r="J46" s="82" t="inlineStr">
        <is>
          <t>Resultado</t>
        </is>
      </c>
      <c r="K46" s="82" t="n"/>
      <c r="L46" s="82" t="inlineStr">
        <is>
          <t>Unidad</t>
        </is>
      </c>
      <c r="M46" s="82" t="n"/>
      <c r="N46" s="82" t="inlineStr">
        <is>
          <t>Referencia celda</t>
        </is>
      </c>
      <c r="O46" s="82" t="n"/>
    </row>
    <row r="47" ht="100" customHeight="1">
      <c r="A47" s="85" t="inlineStr">
        <is>
          <t>1</t>
        </is>
      </c>
      <c r="B47" s="84" t="n"/>
      <c r="C47" s="84" t="n"/>
      <c r="D47" s="83" t="inlineStr">
        <is>
          <t>Caudal de aire volumétrico</t>
        </is>
      </c>
      <c r="E47" s="84" t="n"/>
      <c r="F47" s="84" t="n"/>
      <c r="G47" s="89" t="inlineStr">
        <is>
          <t>Q = V × N / 60</t>
        </is>
      </c>
      <c r="H47" s="90" t="n"/>
      <c r="I47" s="90" t="n"/>
      <c r="J47" s="91">
        <f>G28*G29/60</f>
        <v/>
      </c>
      <c r="K47" s="92" t="n"/>
      <c r="L47" s="85" t="inlineStr">
        <is>
          <t>m³/min</t>
        </is>
      </c>
      <c r="M47" s="84" t="n"/>
      <c r="N47" s="85">
        <f>J47</f>
        <v/>
      </c>
      <c r="O47" s="84" t="n"/>
    </row>
    <row r="48" ht="100" customHeight="1">
      <c r="A48" s="85" t="inlineStr">
        <is>
          <t>2</t>
        </is>
      </c>
      <c r="B48" s="84" t="n"/>
      <c r="C48" s="84" t="n"/>
      <c r="D48" s="83" t="inlineStr">
        <is>
          <t>Caudal de aire en m³/h</t>
        </is>
      </c>
      <c r="E48" s="84" t="n"/>
      <c r="F48" s="84" t="n"/>
      <c r="G48" s="89" t="inlineStr">
        <is>
          <t>Q_h = Q × 60</t>
        </is>
      </c>
      <c r="H48" s="90" t="n"/>
      <c r="I48" s="90" t="n"/>
      <c r="J48" s="91">
        <f>J47*60</f>
        <v/>
      </c>
      <c r="K48" s="92" t="n"/>
      <c r="L48" s="85" t="inlineStr">
        <is>
          <t>m³/h</t>
        </is>
      </c>
      <c r="M48" s="84" t="n"/>
      <c r="N48" s="85">
        <f>J48</f>
        <v/>
      </c>
      <c r="O48" s="84" t="n"/>
    </row>
    <row r="49" ht="100" customHeight="1">
      <c r="A49" s="85" t="inlineStr">
        <is>
          <t>3</t>
        </is>
      </c>
      <c r="B49" s="84" t="n"/>
      <c r="C49" s="84" t="n"/>
      <c r="D49" s="83" t="inlineStr">
        <is>
          <t>Caudal de aire en CFM</t>
        </is>
      </c>
      <c r="E49" s="84" t="n"/>
      <c r="F49" s="84" t="n"/>
      <c r="G49" s="89" t="inlineStr">
        <is>
          <t>Q_cfm = Q × 35.3147</t>
        </is>
      </c>
      <c r="H49" s="90" t="n"/>
      <c r="I49" s="90" t="n"/>
      <c r="J49" s="91">
        <f>J47*35.3147</f>
        <v/>
      </c>
      <c r="K49" s="92" t="n"/>
      <c r="L49" s="85" t="inlineStr">
        <is>
          <t>CFM</t>
        </is>
      </c>
      <c r="M49" s="84" t="n"/>
      <c r="N49" s="85">
        <f>J49</f>
        <v/>
      </c>
      <c r="O49" s="84" t="n"/>
    </row>
    <row r="50" ht="50" customHeight="1">
      <c r="A50" s="85" t="inlineStr">
        <is>
          <t>4</t>
        </is>
      </c>
      <c r="B50" s="84" t="n"/>
      <c r="C50" s="84" t="n"/>
      <c r="D50" s="83" t="inlineStr">
        <is>
          <t>Caudal en m³/s</t>
        </is>
      </c>
      <c r="E50" s="84" t="n"/>
      <c r="F50" s="84" t="n"/>
      <c r="G50" s="89" t="inlineStr">
        <is>
          <t>Q_s = Q / 60</t>
        </is>
      </c>
      <c r="H50" s="90" t="n"/>
      <c r="I50" s="90" t="n"/>
      <c r="J50" s="91">
        <f>J47/60</f>
        <v/>
      </c>
      <c r="K50" s="92" t="n"/>
      <c r="L50" s="85" t="inlineStr">
        <is>
          <t>m³/s</t>
        </is>
      </c>
      <c r="M50" s="84" t="n"/>
      <c r="N50" s="85">
        <f>J50</f>
        <v/>
      </c>
      <c r="O50" s="84" t="n"/>
    </row>
    <row r="51" ht="150" customHeight="1">
      <c r="A51" s="85" t="inlineStr">
        <is>
          <t>5</t>
        </is>
      </c>
      <c r="B51" s="84" t="n"/>
      <c r="C51" s="84" t="n"/>
      <c r="D51" s="83" t="inlineStr">
        <is>
          <t>Potencia teórica del ventilador</t>
        </is>
      </c>
      <c r="E51" s="84" t="n"/>
      <c r="F51" s="84" t="n"/>
      <c r="G51" s="89" t="inlineStr">
        <is>
          <t>P = Q_s × ΔP / (η × 1000)</t>
        </is>
      </c>
      <c r="H51" s="90" t="n"/>
      <c r="I51" s="90" t="n"/>
      <c r="J51" s="91">
        <f>J50*G30/(G31*1000)</f>
        <v/>
      </c>
      <c r="K51" s="92" t="n"/>
      <c r="L51" s="85" t="inlineStr">
        <is>
          <t>kW</t>
        </is>
      </c>
      <c r="M51" s="84" t="n"/>
      <c r="N51" s="85">
        <f>J51</f>
        <v/>
      </c>
      <c r="O51" s="84" t="n"/>
    </row>
    <row r="52" ht="50" customHeight="1">
      <c r="A52" s="85" t="inlineStr">
        <is>
          <t>6</t>
        </is>
      </c>
      <c r="B52" s="84" t="n"/>
      <c r="C52" s="84" t="n"/>
      <c r="D52" s="83" t="inlineStr">
        <is>
          <t>Potencia en HP</t>
        </is>
      </c>
      <c r="E52" s="84" t="n"/>
      <c r="F52" s="84" t="n"/>
      <c r="G52" s="89" t="inlineStr">
        <is>
          <t>HP = P × 1.341</t>
        </is>
      </c>
      <c r="H52" s="90" t="n"/>
      <c r="I52" s="90" t="n"/>
      <c r="J52" s="91">
        <f>J51*1.341</f>
        <v/>
      </c>
      <c r="K52" s="92" t="n"/>
      <c r="L52" s="85" t="inlineStr">
        <is>
          <t>HP</t>
        </is>
      </c>
      <c r="M52" s="84" t="n"/>
      <c r="N52" s="85">
        <f>J52</f>
        <v/>
      </c>
      <c r="O52" s="84" t="n"/>
    </row>
    <row r="53" ht="150" customHeight="1">
      <c r="A53" s="85" t="inlineStr">
        <is>
          <t>7</t>
        </is>
      </c>
      <c r="B53" s="84" t="n"/>
      <c r="C53" s="84" t="n"/>
      <c r="D53" s="83" t="inlineStr">
        <is>
          <t>Área de impulsión del ventilador</t>
        </is>
      </c>
      <c r="E53" s="84" t="n"/>
      <c r="F53" s="84" t="n"/>
      <c r="G53" s="89" t="inlineStr">
        <is>
          <t>A_vent = Q_s / v_vent</t>
        </is>
      </c>
      <c r="H53" s="90" t="n"/>
      <c r="I53" s="90" t="n"/>
      <c r="J53" s="91">
        <f>J50/G32</f>
        <v/>
      </c>
      <c r="K53" s="92" t="n"/>
      <c r="L53" s="85" t="inlineStr">
        <is>
          <t>m²</t>
        </is>
      </c>
      <c r="M53" s="84" t="n"/>
      <c r="N53" s="85">
        <f>J53</f>
        <v/>
      </c>
      <c r="O53" s="84" t="n"/>
    </row>
    <row r="54" ht="150" customHeight="1">
      <c r="A54" s="85" t="inlineStr">
        <is>
          <t>8</t>
        </is>
      </c>
      <c r="B54" s="84" t="n"/>
      <c r="C54" s="84" t="n"/>
      <c r="D54" s="83" t="inlineStr">
        <is>
          <t>Diámetro equivalente del ventilador</t>
        </is>
      </c>
      <c r="E54" s="84" t="n"/>
      <c r="F54" s="84" t="n"/>
      <c r="G54" s="89" t="inlineStr">
        <is>
          <t>D = √(4×A_vent/π)</t>
        </is>
      </c>
      <c r="H54" s="90" t="n"/>
      <c r="I54" s="90" t="n"/>
      <c r="J54" s="91">
        <f>SQRT(4*J53/PI())</f>
        <v/>
      </c>
      <c r="K54" s="92" t="n"/>
      <c r="L54" s="85" t="inlineStr">
        <is>
          <t>m</t>
        </is>
      </c>
      <c r="M54" s="84" t="n"/>
      <c r="N54" s="85">
        <f>J54</f>
        <v/>
      </c>
      <c r="O54" s="84" t="n"/>
    </row>
    <row r="55" ht="100" customHeight="1">
      <c r="A55" s="85" t="inlineStr">
        <is>
          <t>9</t>
        </is>
      </c>
      <c r="B55" s="84" t="n"/>
      <c r="C55" s="84" t="n"/>
      <c r="D55" s="83" t="inlineStr">
        <is>
          <t>Radio del ventilador</t>
        </is>
      </c>
      <c r="E55" s="84" t="n"/>
      <c r="F55" s="84" t="n"/>
      <c r="G55" s="89" t="inlineStr">
        <is>
          <t>r = D / 2</t>
        </is>
      </c>
      <c r="H55" s="90" t="n"/>
      <c r="I55" s="90" t="n"/>
      <c r="J55" s="91">
        <f>J54/2</f>
        <v/>
      </c>
      <c r="K55" s="92" t="n"/>
      <c r="L55" s="85" t="inlineStr">
        <is>
          <t>m</t>
        </is>
      </c>
      <c r="M55" s="84" t="n"/>
      <c r="N55" s="85">
        <f>J55</f>
        <v/>
      </c>
      <c r="O55" s="84" t="n"/>
    </row>
    <row r="56" ht="100" customHeight="1">
      <c r="A56" s="85" t="inlineStr">
        <is>
          <t>10</t>
        </is>
      </c>
      <c r="B56" s="84" t="n"/>
      <c r="C56" s="84" t="n"/>
      <c r="D56" s="83" t="inlineStr">
        <is>
          <t>Radio del ventilador en mm</t>
        </is>
      </c>
      <c r="E56" s="84" t="n"/>
      <c r="F56" s="84" t="n"/>
      <c r="G56" s="89" t="inlineStr">
        <is>
          <t>r_mm = r × 1000</t>
        </is>
      </c>
      <c r="H56" s="90" t="n"/>
      <c r="I56" s="90" t="n"/>
      <c r="J56" s="91">
        <f>J55*1000</f>
        <v/>
      </c>
      <c r="K56" s="92" t="n"/>
      <c r="L56" s="85" t="inlineStr">
        <is>
          <t>mm</t>
        </is>
      </c>
      <c r="M56" s="84" t="n"/>
      <c r="N56" s="85">
        <f>J56</f>
        <v/>
      </c>
      <c r="O56" s="84" t="n"/>
    </row>
    <row r="57" ht="150" customHeight="1">
      <c r="A57" s="85" t="inlineStr">
        <is>
          <t>11</t>
        </is>
      </c>
      <c r="B57" s="84" t="n"/>
      <c r="C57" s="84" t="n"/>
      <c r="D57" s="83" t="inlineStr">
        <is>
          <t>Área neta total de rejillas de salida</t>
        </is>
      </c>
      <c r="E57" s="84" t="n"/>
      <c r="F57" s="84" t="n"/>
      <c r="G57" s="89" t="inlineStr">
        <is>
          <t>A_exfil = Q_s / v_sal</t>
        </is>
      </c>
      <c r="H57" s="90" t="n"/>
      <c r="I57" s="90" t="n"/>
      <c r="J57" s="91">
        <f>J50/G33</f>
        <v/>
      </c>
      <c r="K57" s="92" t="n"/>
      <c r="L57" s="85" t="inlineStr">
        <is>
          <t>m²</t>
        </is>
      </c>
      <c r="M57" s="84" t="n"/>
      <c r="N57" s="85">
        <f>J57</f>
        <v/>
      </c>
      <c r="O57" s="84" t="n"/>
    </row>
    <row r="58" ht="150" customHeight="1">
      <c r="A58" s="85" t="inlineStr">
        <is>
          <t>12</t>
        </is>
      </c>
      <c r="B58" s="84" t="n"/>
      <c r="C58" s="84" t="n"/>
      <c r="D58" s="83" t="inlineStr">
        <is>
          <t>Área neta por rejilla de salida</t>
        </is>
      </c>
      <c r="E58" s="84" t="n"/>
      <c r="F58" s="84" t="n"/>
      <c r="G58" s="89" t="inlineStr">
        <is>
          <t>A_rej = A_exfil / n_rej</t>
        </is>
      </c>
      <c r="H58" s="90" t="n"/>
      <c r="I58" s="90" t="n"/>
      <c r="J58" s="91">
        <f>J57/G34</f>
        <v/>
      </c>
      <c r="K58" s="92" t="n"/>
      <c r="L58" s="85" t="inlineStr">
        <is>
          <t>m²</t>
        </is>
      </c>
      <c r="M58" s="84" t="n"/>
      <c r="N58" s="85">
        <f>J58</f>
        <v/>
      </c>
      <c r="O58" s="84" t="n"/>
    </row>
    <row r="59" ht="150" customHeight="1">
      <c r="A59" s="85" t="inlineStr">
        <is>
          <t>13</t>
        </is>
      </c>
      <c r="B59" s="84" t="n"/>
      <c r="C59" s="84" t="n"/>
      <c r="D59" s="83" t="inlineStr">
        <is>
          <t>Altura de rejilla (proporción dada)</t>
        </is>
      </c>
      <c r="E59" s="84" t="n"/>
      <c r="F59" s="84" t="n"/>
      <c r="G59" s="89" t="inlineStr">
        <is>
          <t>h = √(A_rej / prop)</t>
        </is>
      </c>
      <c r="H59" s="90" t="n"/>
      <c r="I59" s="90" t="n"/>
      <c r="J59" s="91">
        <f>SQRT(J58/G35)</f>
        <v/>
      </c>
      <c r="K59" s="92" t="n"/>
      <c r="L59" s="85" t="inlineStr">
        <is>
          <t>m</t>
        </is>
      </c>
      <c r="M59" s="84" t="n"/>
      <c r="N59" s="85">
        <f>J59</f>
        <v/>
      </c>
      <c r="O59" s="84" t="n"/>
    </row>
    <row r="60" ht="100" customHeight="1">
      <c r="A60" s="85" t="inlineStr">
        <is>
          <t>14</t>
        </is>
      </c>
      <c r="B60" s="84" t="n"/>
      <c r="C60" s="84" t="n"/>
      <c r="D60" s="83" t="inlineStr">
        <is>
          <t>Ancho de rejilla</t>
        </is>
      </c>
      <c r="E60" s="84" t="n"/>
      <c r="F60" s="84" t="n"/>
      <c r="G60" s="89" t="inlineStr">
        <is>
          <t>w = A_rej / h</t>
        </is>
      </c>
      <c r="H60" s="90" t="n"/>
      <c r="I60" s="90" t="n"/>
      <c r="J60" s="91">
        <f>J58/J59</f>
        <v/>
      </c>
      <c r="K60" s="92" t="n"/>
      <c r="L60" s="85" t="inlineStr">
        <is>
          <t>m</t>
        </is>
      </c>
      <c r="M60" s="84" t="n"/>
      <c r="N60" s="85">
        <f>J60</f>
        <v/>
      </c>
      <c r="O60" s="84" t="n"/>
    </row>
    <row r="61" ht="100" customHeight="1">
      <c r="A61" s="85" t="inlineStr">
        <is>
          <t>15</t>
        </is>
      </c>
      <c r="B61" s="84" t="n"/>
      <c r="C61" s="84" t="n"/>
      <c r="D61" s="83" t="inlineStr">
        <is>
          <t>Altura de rejilla en mm</t>
        </is>
      </c>
      <c r="E61" s="84" t="n"/>
      <c r="F61" s="84" t="n"/>
      <c r="G61" s="89" t="inlineStr">
        <is>
          <t>h_mm = h × 1000</t>
        </is>
      </c>
      <c r="H61" s="90" t="n"/>
      <c r="I61" s="90" t="n"/>
      <c r="J61" s="91">
        <f>J59*1000</f>
        <v/>
      </c>
      <c r="K61" s="92" t="n"/>
      <c r="L61" s="85" t="inlineStr">
        <is>
          <t>mm</t>
        </is>
      </c>
      <c r="M61" s="84" t="n"/>
      <c r="N61" s="85">
        <f>J61</f>
        <v/>
      </c>
      <c r="O61" s="84" t="n"/>
    </row>
    <row r="62" ht="100" customHeight="1">
      <c r="A62" s="85" t="inlineStr">
        <is>
          <t>16</t>
        </is>
      </c>
      <c r="B62" s="84" t="n"/>
      <c r="C62" s="84" t="n"/>
      <c r="D62" s="83" t="inlineStr">
        <is>
          <t>Ancho de rejilla en mm</t>
        </is>
      </c>
      <c r="E62" s="84" t="n"/>
      <c r="F62" s="84" t="n"/>
      <c r="G62" s="89" t="inlineStr">
        <is>
          <t>w_mm = w × 1000</t>
        </is>
      </c>
      <c r="H62" s="90" t="n"/>
      <c r="I62" s="90" t="n"/>
      <c r="J62" s="91">
        <f>J60*1000</f>
        <v/>
      </c>
      <c r="K62" s="92" t="n"/>
      <c r="L62" s="85" t="inlineStr">
        <is>
          <t>mm</t>
        </is>
      </c>
      <c r="M62" s="84" t="n"/>
      <c r="N62" s="85">
        <f>J62</f>
        <v/>
      </c>
      <c r="O62" s="84" t="n"/>
    </row>
    <row r="63" ht="200" customHeight="1">
      <c r="A63" s="85" t="inlineStr">
        <is>
          <t>17</t>
        </is>
      </c>
      <c r="B63" s="84" t="n"/>
      <c r="C63" s="84" t="n"/>
      <c r="D63" s="83" t="inlineStr">
        <is>
          <t>Pérdida de presión en rejillas (descarga libre)</t>
        </is>
      </c>
      <c r="E63" s="84" t="n"/>
      <c r="F63" s="84" t="n"/>
      <c r="G63" s="89" t="inlineStr">
        <is>
          <t>dP = (rho/2)×(Q_s/(Cd×A_exfil))²</t>
        </is>
      </c>
      <c r="H63" s="90" t="n"/>
      <c r="I63" s="90" t="n"/>
      <c r="J63" s="91">
        <f>G36/2*(J50/(G37*J57))^2</f>
        <v/>
      </c>
      <c r="K63" s="92" t="n"/>
      <c r="L63" s="85" t="inlineStr">
        <is>
          <t>Pa</t>
        </is>
      </c>
      <c r="M63" s="84" t="n"/>
      <c r="N63" s="85">
        <f>J63</f>
        <v/>
      </c>
      <c r="O63" s="84" t="n"/>
    </row>
    <row r="64" ht="50" customHeight="1"/>
    <row r="65" ht="150" customHeight="1">
      <c r="A65" s="81" t="inlineStr">
        <is>
          <t>4. RESUMEN DE RESULTADOS DE DISEÑO</t>
        </is>
      </c>
    </row>
    <row r="66" ht="50" customHeight="1"/>
    <row r="67" ht="50" customHeight="1">
      <c r="A67" s="82" t="inlineStr">
        <is>
          <t>Parámetro</t>
        </is>
      </c>
      <c r="B67" s="82" t="n"/>
      <c r="C67" s="82" t="n"/>
      <c r="D67" s="82" t="n"/>
      <c r="E67" s="82" t="inlineStr">
        <is>
          <t>Valor</t>
        </is>
      </c>
      <c r="F67" s="82" t="n"/>
      <c r="G67" s="82" t="n"/>
      <c r="H67" s="82" t="n"/>
      <c r="I67" s="82" t="inlineStr">
        <is>
          <t>Unidad</t>
        </is>
      </c>
      <c r="J67" s="82" t="n"/>
      <c r="K67" s="82" t="n"/>
      <c r="L67" s="82" t="n"/>
      <c r="M67" s="82" t="inlineStr">
        <is>
          <t>Observación</t>
        </is>
      </c>
      <c r="N67" s="82" t="n"/>
      <c r="O67" s="82" t="n"/>
    </row>
    <row r="68" ht="150" customHeight="1">
      <c r="A68" s="83" t="inlineStr">
        <is>
          <t>Caudal de diseño</t>
        </is>
      </c>
      <c r="B68" s="84" t="n"/>
      <c r="C68" s="84" t="n"/>
      <c r="D68" s="84" t="n"/>
      <c r="E68" s="91">
        <f>J47</f>
        <v/>
      </c>
      <c r="F68" s="92" t="n"/>
      <c r="G68" s="92" t="n"/>
      <c r="H68" s="92" t="n"/>
      <c r="I68" s="85" t="inlineStr">
        <is>
          <t>m³/min</t>
        </is>
      </c>
      <c r="J68" s="84" t="n"/>
      <c r="K68" s="84" t="n"/>
      <c r="L68" s="84" t="n"/>
      <c r="M68" s="83" t="inlineStr">
        <is>
          <t>Caudal de impulsión requerido</t>
        </is>
      </c>
      <c r="N68" s="84" t="n"/>
      <c r="O68" s="84" t="n"/>
    </row>
    <row r="69" ht="150" customHeight="1">
      <c r="A69" s="83" t="inlineStr">
        <is>
          <t>Caudal de diseño</t>
        </is>
      </c>
      <c r="B69" s="84" t="n"/>
      <c r="C69" s="84" t="n"/>
      <c r="D69" s="84" t="n"/>
      <c r="E69" s="91">
        <f>J48</f>
        <v/>
      </c>
      <c r="F69" s="92" t="n"/>
      <c r="G69" s="92" t="n"/>
      <c r="H69" s="92" t="n"/>
      <c r="I69" s="85" t="inlineStr">
        <is>
          <t>m³/h</t>
        </is>
      </c>
      <c r="J69" s="84" t="n"/>
      <c r="K69" s="84" t="n"/>
      <c r="L69" s="84" t="n"/>
      <c r="M69" s="83" t="inlineStr">
        <is>
          <t>Equivalente en metros cúbicos por hora</t>
        </is>
      </c>
      <c r="N69" s="84" t="n"/>
      <c r="O69" s="84" t="n"/>
    </row>
    <row r="70" ht="150" customHeight="1">
      <c r="A70" s="83" t="inlineStr">
        <is>
          <t>Caudal de diseño</t>
        </is>
      </c>
      <c r="B70" s="84" t="n"/>
      <c r="C70" s="84" t="n"/>
      <c r="D70" s="84" t="n"/>
      <c r="E70" s="91">
        <f>J49</f>
        <v/>
      </c>
      <c r="F70" s="92" t="n"/>
      <c r="G70" s="92" t="n"/>
      <c r="H70" s="92" t="n"/>
      <c r="I70" s="85" t="inlineStr">
        <is>
          <t>CFM</t>
        </is>
      </c>
      <c r="J70" s="84" t="n"/>
      <c r="K70" s="84" t="n"/>
      <c r="L70" s="84" t="n"/>
      <c r="M70" s="83" t="inlineStr">
        <is>
          <t>Equivalente en pies cúbicos por minuto</t>
        </is>
      </c>
      <c r="N70" s="84" t="n"/>
      <c r="O70" s="84" t="n"/>
    </row>
    <row r="71" ht="200" customHeight="1">
      <c r="A71" s="83" t="inlineStr">
        <is>
          <t>Potencia teórica del ventilador</t>
        </is>
      </c>
      <c r="B71" s="84" t="n"/>
      <c r="C71" s="84" t="n"/>
      <c r="D71" s="84" t="n"/>
      <c r="E71" s="91">
        <f>J51</f>
        <v/>
      </c>
      <c r="F71" s="92" t="n"/>
      <c r="G71" s="92" t="n"/>
      <c r="H71" s="92" t="n"/>
      <c r="I71" s="85" t="inlineStr">
        <is>
          <t>kW</t>
        </is>
      </c>
      <c r="J71" s="84" t="n"/>
      <c r="K71" s="84" t="n"/>
      <c r="L71" s="84" t="n"/>
      <c r="M71" s="83" t="inlineStr">
        <is>
          <t>Escenario MERV cargado a 165 Pa y η=0.55 (axial)</t>
        </is>
      </c>
      <c r="N71" s="84" t="n"/>
      <c r="O71" s="84" t="n"/>
    </row>
    <row r="72" ht="150" customHeight="1">
      <c r="A72" s="83" t="inlineStr">
        <is>
          <t>Potencia teórica del ventilador</t>
        </is>
      </c>
      <c r="B72" s="84" t="n"/>
      <c r="C72" s="84" t="n"/>
      <c r="D72" s="84" t="n"/>
      <c r="E72" s="91">
        <f>J52</f>
        <v/>
      </c>
      <c r="F72" s="92" t="n"/>
      <c r="G72" s="92" t="n"/>
      <c r="H72" s="92" t="n"/>
      <c r="I72" s="85" t="inlineStr">
        <is>
          <t>HP</t>
        </is>
      </c>
      <c r="J72" s="84" t="n"/>
      <c r="K72" s="84" t="n"/>
      <c r="L72" s="84" t="n"/>
      <c r="M72" s="83" t="inlineStr">
        <is>
          <t>Unidades imperiales</t>
        </is>
      </c>
      <c r="N72" s="84" t="n"/>
      <c r="O72" s="84" t="n"/>
    </row>
    <row r="73" ht="300" customHeight="1">
      <c r="A73" s="83" t="inlineStr">
        <is>
          <t>Potencia instalada recomendada</t>
        </is>
      </c>
      <c r="B73" s="84" t="n"/>
      <c r="C73" s="84" t="n"/>
      <c r="D73" s="84" t="n"/>
      <c r="E73" s="91">
        <f>CEILING(J52*1.5,0.25)</f>
        <v/>
      </c>
      <c r="F73" s="92" t="n"/>
      <c r="G73" s="92" t="n"/>
      <c r="H73" s="92" t="n"/>
      <c r="I73" s="85" t="inlineStr">
        <is>
          <t>HP</t>
        </is>
      </c>
      <c r="J73" s="84" t="n"/>
      <c r="K73" s="84" t="n"/>
      <c r="L73" s="84" t="n"/>
      <c r="M73" s="83" t="inlineStr">
        <is>
          <t>×1.5 margen de servicio, redondeo 0.25 HP (provisional; confirmar con catálogo)</t>
        </is>
      </c>
      <c r="N73" s="84" t="n"/>
      <c r="O73" s="84" t="n"/>
    </row>
    <row r="74" ht="150" customHeight="1">
      <c r="A74" s="83" t="inlineStr">
        <is>
          <t>Área de impulsión del ventilador</t>
        </is>
      </c>
      <c r="B74" s="84" t="n"/>
      <c r="C74" s="84" t="n"/>
      <c r="D74" s="84" t="n"/>
      <c r="E74" s="91">
        <f>J53</f>
        <v/>
      </c>
      <c r="F74" s="92" t="n"/>
      <c r="G74" s="92" t="n"/>
      <c r="H74" s="92" t="n"/>
      <c r="I74" s="85" t="inlineStr">
        <is>
          <t>m²</t>
        </is>
      </c>
      <c r="J74" s="84" t="n"/>
      <c r="K74" s="84" t="n"/>
      <c r="L74" s="84" t="n"/>
      <c r="M74" s="83" t="inlineStr">
        <is>
          <t>Boca del ventilador</t>
        </is>
      </c>
      <c r="N74" s="84" t="n"/>
      <c r="O74" s="84" t="n"/>
    </row>
    <row r="75" ht="150" customHeight="1">
      <c r="A75" s="83" t="inlineStr">
        <is>
          <t>Diámetro equivalente del ventilador</t>
        </is>
      </c>
      <c r="B75" s="84" t="n"/>
      <c r="C75" s="84" t="n"/>
      <c r="D75" s="84" t="n"/>
      <c r="E75" s="91">
        <f>J54</f>
        <v/>
      </c>
      <c r="F75" s="92" t="n"/>
      <c r="G75" s="92" t="n"/>
      <c r="H75" s="92" t="n"/>
      <c r="I75" s="85" t="inlineStr">
        <is>
          <t>m</t>
        </is>
      </c>
      <c r="J75" s="84" t="n"/>
      <c r="K75" s="84" t="n"/>
      <c r="L75" s="84" t="n"/>
      <c r="M75" s="83" t="inlineStr">
        <is>
          <t>Para referencia (BC del CFD, histórica)</t>
        </is>
      </c>
      <c r="N75" s="84" t="n"/>
      <c r="O75" s="84" t="n"/>
    </row>
    <row r="76" ht="200" customHeight="1">
      <c r="A76" s="83" t="inlineStr">
        <is>
          <t>Radio del ventilador (CFD)</t>
        </is>
      </c>
      <c r="B76" s="84" t="n"/>
      <c r="C76" s="84" t="n"/>
      <c r="D76" s="84" t="n"/>
      <c r="E76" s="91">
        <f>J56</f>
        <v/>
      </c>
      <c r="F76" s="92" t="n"/>
      <c r="G76" s="92" t="n"/>
      <c r="H76" s="92" t="n"/>
      <c r="I76" s="85" t="inlineStr">
        <is>
          <t>mm</t>
        </is>
      </c>
      <c r="J76" s="84" t="n"/>
      <c r="K76" s="84" t="n"/>
      <c r="L76" s="84" t="n"/>
      <c r="M76" s="83" t="inlineStr">
        <is>
          <t>Círculo de inyección (BC del CFD, histórica)</t>
        </is>
      </c>
      <c r="N76" s="84" t="n"/>
      <c r="O76" s="84" t="n"/>
    </row>
    <row r="77" ht="200" customHeight="1">
      <c r="A77" s="83" t="inlineStr">
        <is>
          <t>Diámetro del impulsor seleccionado</t>
        </is>
      </c>
      <c r="B77" s="84" t="n"/>
      <c r="C77" s="84" t="n"/>
      <c r="D77" s="84" t="n"/>
      <c r="E77" s="91" t="n">
        <v>0.5600000000000001</v>
      </c>
      <c r="F77" s="92" t="n"/>
      <c r="G77" s="92" t="n"/>
      <c r="H77" s="92" t="n"/>
      <c r="I77" s="85" t="inlineStr">
        <is>
          <t>m</t>
        </is>
      </c>
      <c r="J77" s="84" t="n"/>
      <c r="K77" s="84" t="n"/>
      <c r="L77" s="84" t="n"/>
      <c r="M77" s="83" t="inlineStr">
        <is>
          <t>Ø560 mm — uniformidad con montaje típico de planta</t>
        </is>
      </c>
      <c r="N77" s="84" t="n"/>
      <c r="O77" s="84" t="n"/>
    </row>
    <row r="78" ht="100" customHeight="1">
      <c r="A78" s="83" t="inlineStr">
        <is>
          <t>Área de boca real (Ø560 mm)</t>
        </is>
      </c>
      <c r="B78" s="84" t="n"/>
      <c r="C78" s="84" t="n"/>
      <c r="D78" s="84" t="n"/>
      <c r="E78" s="91">
        <f>PI()*(0.56/2)^2</f>
        <v/>
      </c>
      <c r="F78" s="92" t="n"/>
      <c r="G78" s="92" t="n"/>
      <c r="H78" s="92" t="n"/>
      <c r="I78" s="85" t="inlineStr">
        <is>
          <t>m²</t>
        </is>
      </c>
      <c r="J78" s="84" t="n"/>
      <c r="K78" s="84" t="n"/>
      <c r="L78" s="84" t="n"/>
      <c r="M78" s="83" t="inlineStr">
        <is>
          <t>π × (D/2)²</t>
        </is>
      </c>
      <c r="N78" s="84" t="n"/>
      <c r="O78" s="84" t="n"/>
    </row>
    <row r="79" ht="150" customHeight="1">
      <c r="A79" s="83" t="inlineStr">
        <is>
          <t>Velocidad real en boca (Ø560 mm)</t>
        </is>
      </c>
      <c r="B79" s="84" t="n"/>
      <c r="C79" s="84" t="n"/>
      <c r="D79" s="84" t="n"/>
      <c r="E79" s="91">
        <f>J50/(PI()*(0.56/2)^2)</f>
        <v/>
      </c>
      <c r="F79" s="92" t="n"/>
      <c r="G79" s="92" t="n"/>
      <c r="H79" s="92" t="n"/>
      <c r="I79" s="85" t="inlineStr">
        <is>
          <t>m/s</t>
        </is>
      </c>
      <c r="J79" s="84" t="n"/>
      <c r="K79" s="84" t="n"/>
      <c r="L79" s="84" t="n"/>
      <c r="M79" s="83" t="inlineStr">
        <is>
          <t>Q_s / A_boca real ≈ 4,33 m/s</t>
        </is>
      </c>
      <c r="N79" s="84" t="n"/>
      <c r="O79" s="84" t="n"/>
    </row>
    <row r="80" ht="100" customHeight="1">
      <c r="A80" s="83" t="inlineStr">
        <is>
          <t>Velocidad de impulsión</t>
        </is>
      </c>
      <c r="B80" s="84" t="n"/>
      <c r="C80" s="84" t="n"/>
      <c r="D80" s="84" t="n"/>
      <c r="E80" s="91">
        <f>G32</f>
        <v/>
      </c>
      <c r="F80" s="92" t="n"/>
      <c r="G80" s="92" t="n"/>
      <c r="H80" s="92" t="n"/>
      <c r="I80" s="85" t="inlineStr">
        <is>
          <t>m/s</t>
        </is>
      </c>
      <c r="J80" s="84" t="n"/>
      <c r="K80" s="84" t="n"/>
      <c r="L80" s="84" t="n"/>
      <c r="M80" s="83" t="inlineStr">
        <is>
          <t>Condición de entrada CFD</t>
        </is>
      </c>
      <c r="N80" s="84" t="n"/>
      <c r="O80" s="84" t="n"/>
    </row>
    <row r="81" ht="150" customHeight="1">
      <c r="A81" s="83" t="inlineStr">
        <is>
          <t>Área neta total de rejillas de salida</t>
        </is>
      </c>
      <c r="B81" s="84" t="n"/>
      <c r="C81" s="84" t="n"/>
      <c r="D81" s="84" t="n"/>
      <c r="E81" s="91">
        <f>J57</f>
        <v/>
      </c>
      <c r="F81" s="92" t="n"/>
      <c r="G81" s="92" t="n"/>
      <c r="H81" s="92" t="n"/>
      <c r="I81" s="85" t="inlineStr">
        <is>
          <t>m²</t>
        </is>
      </c>
      <c r="J81" s="84" t="n"/>
      <c r="K81" s="84" t="n"/>
      <c r="L81" s="84" t="n"/>
      <c r="M81" s="83" t="inlineStr">
        <is>
          <t>A v=3 m/s</t>
        </is>
      </c>
      <c r="N81" s="84" t="n"/>
      <c r="O81" s="84" t="n"/>
    </row>
    <row r="82" ht="100" customHeight="1">
      <c r="A82" s="83" t="inlineStr">
        <is>
          <t>Número de rejillas de salida</t>
        </is>
      </c>
      <c r="B82" s="84" t="n"/>
      <c r="C82" s="84" t="n"/>
      <c r="D82" s="84" t="n"/>
      <c r="E82" s="91">
        <f>G34</f>
        <v/>
      </c>
      <c r="F82" s="92" t="n"/>
      <c r="G82" s="92" t="n"/>
      <c r="H82" s="92" t="n"/>
      <c r="I82" s="85" t="inlineStr">
        <is>
          <t>unid.</t>
        </is>
      </c>
      <c r="J82" s="84" t="n"/>
      <c r="K82" s="84" t="n"/>
      <c r="L82" s="84" t="n"/>
      <c r="M82" s="83" t="inlineStr">
        <is>
          <t>Distribución propuesta</t>
        </is>
      </c>
      <c r="N82" s="84" t="n"/>
      <c r="O82" s="84" t="n"/>
    </row>
    <row r="83" ht="150" customHeight="1">
      <c r="A83" s="83" t="inlineStr">
        <is>
          <t>Área neta por rejilla de salida</t>
        </is>
      </c>
      <c r="B83" s="84" t="n"/>
      <c r="C83" s="84" t="n"/>
      <c r="D83" s="84" t="n"/>
      <c r="E83" s="91">
        <f>J58</f>
        <v/>
      </c>
      <c r="F83" s="92" t="n"/>
      <c r="G83" s="92" t="n"/>
      <c r="H83" s="92" t="n"/>
      <c r="I83" s="85" t="inlineStr">
        <is>
          <t>m²</t>
        </is>
      </c>
      <c r="J83" s="84" t="n"/>
      <c r="K83" s="84" t="n"/>
      <c r="L83" s="84" t="n"/>
      <c r="M83" s="83" t="inlineStr">
        <is>
          <t>Cada rejilla</t>
        </is>
      </c>
      <c r="N83" s="84" t="n"/>
      <c r="O83" s="84" t="n"/>
    </row>
    <row r="84" ht="100" customHeight="1">
      <c r="A84" s="83" t="inlineStr">
        <is>
          <t>Altura de rejilla de salida</t>
        </is>
      </c>
      <c r="B84" s="84" t="n"/>
      <c r="C84" s="84" t="n"/>
      <c r="D84" s="84" t="n"/>
      <c r="E84" s="91">
        <f>J61</f>
        <v/>
      </c>
      <c r="F84" s="92" t="n"/>
      <c r="G84" s="92" t="n"/>
      <c r="H84" s="92" t="n"/>
      <c r="I84" s="85" t="inlineStr">
        <is>
          <t>mm</t>
        </is>
      </c>
      <c r="J84" s="84" t="n"/>
      <c r="K84" s="84" t="n"/>
      <c r="L84" s="84" t="n"/>
      <c r="M84" s="83" t="inlineStr">
        <is>
          <t>Dimensiones para CFD</t>
        </is>
      </c>
      <c r="N84" s="84" t="n"/>
      <c r="O84" s="84" t="n"/>
    </row>
    <row r="85" ht="100" customHeight="1">
      <c r="A85" s="83" t="inlineStr">
        <is>
          <t>Ancho de rejilla de salida</t>
        </is>
      </c>
      <c r="B85" s="84" t="n"/>
      <c r="C85" s="84" t="n"/>
      <c r="D85" s="84" t="n"/>
      <c r="E85" s="91">
        <f>J62</f>
        <v/>
      </c>
      <c r="F85" s="92" t="n"/>
      <c r="G85" s="92" t="n"/>
      <c r="H85" s="92" t="n"/>
      <c r="I85" s="85" t="inlineStr">
        <is>
          <t>mm</t>
        </is>
      </c>
      <c r="J85" s="84" t="n"/>
      <c r="K85" s="84" t="n"/>
      <c r="L85" s="84" t="n"/>
      <c r="M85" s="83" t="inlineStr">
        <is>
          <t>Dimensiones para CFD</t>
        </is>
      </c>
      <c r="N85" s="84" t="n"/>
      <c r="O85" s="84" t="n"/>
    </row>
    <row r="86" ht="150" customHeight="1">
      <c r="A86" s="83" t="inlineStr">
        <is>
          <t>Velocidad de exfiltración</t>
        </is>
      </c>
      <c r="B86" s="84" t="n"/>
      <c r="C86" s="84" t="n"/>
      <c r="D86" s="84" t="n"/>
      <c r="E86" s="91">
        <f>G33</f>
        <v/>
      </c>
      <c r="F86" s="92" t="n"/>
      <c r="G86" s="92" t="n"/>
      <c r="H86" s="92" t="n"/>
      <c r="I86" s="85" t="inlineStr">
        <is>
          <t>m/s</t>
        </is>
      </c>
      <c r="J86" s="84" t="n"/>
      <c r="K86" s="84" t="n"/>
      <c r="L86" s="84" t="n"/>
      <c r="M86" s="83" t="inlineStr">
        <is>
          <t>Condición de salida CFD (pressure outlet)</t>
        </is>
      </c>
      <c r="N86" s="84" t="n"/>
      <c r="O86" s="84" t="n"/>
    </row>
    <row r="87" ht="150" customHeight="1">
      <c r="A87" s="83" t="inlineStr">
        <is>
          <t>Pérdida de presión en rejillas</t>
        </is>
      </c>
      <c r="B87" s="84" t="n"/>
      <c r="C87" s="84" t="n"/>
      <c r="D87" s="84" t="n"/>
      <c r="E87" s="91">
        <f>J63</f>
        <v/>
      </c>
      <c r="F87" s="92" t="n"/>
      <c r="G87" s="92" t="n"/>
      <c r="H87" s="92" t="n"/>
      <c r="I87" s="85" t="inlineStr">
        <is>
          <t>Pa</t>
        </is>
      </c>
      <c r="J87" s="84" t="n"/>
      <c r="K87" s="84" t="n"/>
      <c r="L87" s="84" t="n"/>
      <c r="M87" s="83" t="inlineStr">
        <is>
          <t>Descarga libre a atmósfera, Cd=0.6</t>
        </is>
      </c>
      <c r="N87" s="84" t="n"/>
      <c r="O87" s="84" t="n"/>
    </row>
    <row r="88" ht="50" customHeight="1"/>
    <row r="89" ht="200" customHeight="1">
      <c r="A89" s="81" t="inlineStr">
        <is>
          <t>5. SUSTENTACIÓN NORMATIVA — 12 RENOVACIONES/HORA</t>
        </is>
      </c>
    </row>
    <row r="90" ht="50" customHeight="1"/>
    <row r="91" ht="100" customHeight="1">
      <c r="A91" s="82" t="inlineStr">
        <is>
          <t>Norma / Guía</t>
        </is>
      </c>
      <c r="B91" s="82" t="n"/>
      <c r="C91" s="82" t="n"/>
      <c r="D91" s="82" t="n"/>
      <c r="E91" s="82" t="inlineStr">
        <is>
          <t>Año / Edición</t>
        </is>
      </c>
      <c r="F91" s="82" t="n"/>
      <c r="G91" s="82" t="n"/>
      <c r="H91" s="82" t="n"/>
      <c r="I91" s="82" t="inlineStr">
        <is>
          <t>Recomendación ACH</t>
        </is>
      </c>
      <c r="J91" s="82" t="n"/>
      <c r="K91" s="82" t="n"/>
      <c r="L91" s="82" t="n"/>
      <c r="M91" s="82" t="inlineStr">
        <is>
          <t>Observación</t>
        </is>
      </c>
      <c r="N91" s="82" t="n"/>
      <c r="O91" s="82" t="n"/>
    </row>
    <row r="92" ht="200" customHeight="1">
      <c r="A92" s="83" t="inlineStr">
        <is>
          <t>ASHRAE 170 — Ventilation of Health Care Facilities</t>
        </is>
      </c>
      <c r="B92" s="84" t="n"/>
      <c r="C92" s="84" t="n"/>
      <c r="D92" s="84" t="n"/>
      <c r="E92" s="85" t="inlineStr">
        <is>
          <t>2021</t>
        </is>
      </c>
      <c r="F92" s="84" t="n"/>
      <c r="G92" s="84" t="n"/>
      <c r="H92" s="84" t="n"/>
      <c r="I92" s="85" t="inlineStr">
        <is>
          <t>6–15 ACH</t>
        </is>
      </c>
      <c r="J92" s="84" t="n"/>
      <c r="K92" s="84" t="n"/>
      <c r="L92" s="84" t="n"/>
      <c r="M92" s="83" t="inlineStr">
        <is>
          <t>Laboratorios clínicos/procedimiento</t>
        </is>
      </c>
      <c r="N92" s="84" t="n"/>
      <c r="O92" s="84" t="n"/>
    </row>
    <row r="93" ht="200" customHeight="1">
      <c r="A93" s="83" t="inlineStr">
        <is>
          <t>ASHRAE 62.1 — Ventilation for Acceptable IAQ</t>
        </is>
      </c>
      <c r="B93" s="84" t="n"/>
      <c r="C93" s="84" t="n"/>
      <c r="D93" s="84" t="n"/>
      <c r="E93" s="85" t="inlineStr">
        <is>
          <t>2022</t>
        </is>
      </c>
      <c r="F93" s="84" t="n"/>
      <c r="G93" s="84" t="n"/>
      <c r="H93" s="84" t="n"/>
      <c r="I93" s="85" t="inlineStr">
        <is>
          <t>Por ocupación y área</t>
        </is>
      </c>
      <c r="J93" s="84" t="n"/>
      <c r="K93" s="84" t="n"/>
      <c r="L93" s="84" t="n"/>
      <c r="M93" s="83" t="inlineStr">
        <is>
          <t>Caudal mínimo de aire exterior</t>
        </is>
      </c>
      <c r="N93" s="84" t="n"/>
      <c r="O93" s="84" t="n"/>
    </row>
    <row r="94" ht="150" customHeight="1">
      <c r="A94" s="83" t="inlineStr">
        <is>
          <t>OSHA 29 CFR 1910.1450 — Laboratory Standard</t>
        </is>
      </c>
      <c r="B94" s="84" t="n"/>
      <c r="C94" s="84" t="n"/>
      <c r="D94" s="84" t="n"/>
      <c r="E94" s="85" t="inlineStr">
        <is>
          <t>2012</t>
        </is>
      </c>
      <c r="F94" s="84" t="n"/>
      <c r="G94" s="84" t="n"/>
      <c r="H94" s="84" t="n"/>
      <c r="I94" s="85" t="inlineStr">
        <is>
          <t>Según PEL</t>
        </is>
      </c>
      <c r="J94" s="84" t="n"/>
      <c r="K94" s="84" t="n"/>
      <c r="L94" s="84" t="n"/>
      <c r="M94" s="83" t="inlineStr">
        <is>
          <t>Ventilación para control de exposición</t>
        </is>
      </c>
      <c r="N94" s="84" t="n"/>
      <c r="O94" s="84" t="n"/>
    </row>
    <row r="95" ht="150" customHeight="1">
      <c r="A95" s="83" t="inlineStr">
        <is>
          <t>NFPA 99 — Health Care Facilities Code</t>
        </is>
      </c>
      <c r="B95" s="84" t="n"/>
      <c r="C95" s="84" t="n"/>
      <c r="D95" s="84" t="n"/>
      <c r="E95" s="85" t="inlineStr">
        <is>
          <t>2021</t>
        </is>
      </c>
      <c r="F95" s="84" t="n"/>
      <c r="G95" s="84" t="n"/>
      <c r="H95" s="84" t="n"/>
      <c r="I95" s="85" t="inlineStr">
        <is>
          <t>Cumplimiento de sistemas</t>
        </is>
      </c>
      <c r="J95" s="84" t="n"/>
      <c r="K95" s="84" t="n"/>
      <c r="L95" s="84" t="n"/>
      <c r="M95" s="83" t="inlineStr">
        <is>
          <t>Fiabilidad de sistemas de aire</t>
        </is>
      </c>
      <c r="N95" s="84" t="n"/>
      <c r="O95" s="84" t="n"/>
    </row>
    <row r="96" ht="150" customHeight="1">
      <c r="A96" s="83" t="inlineStr">
        <is>
          <t>WHO — Laboratory Biosafety Manual (BSL-2)</t>
        </is>
      </c>
      <c r="B96" s="84" t="n"/>
      <c r="C96" s="84" t="n"/>
      <c r="D96" s="84" t="n"/>
      <c r="E96" s="85" t="inlineStr">
        <is>
          <t>2004</t>
        </is>
      </c>
      <c r="F96" s="84" t="n"/>
      <c r="G96" s="84" t="n"/>
      <c r="H96" s="84" t="n"/>
      <c r="I96" s="85" t="inlineStr">
        <is>
          <t>6–12 ACH</t>
        </is>
      </c>
      <c r="J96" s="84" t="n"/>
      <c r="K96" s="84" t="n"/>
      <c r="L96" s="84" t="n"/>
      <c r="M96" s="83" t="inlineStr">
        <is>
          <t>12 ACH = límite superior BSL-2</t>
        </is>
      </c>
      <c r="N96" s="84" t="n"/>
      <c r="O96" s="84" t="n"/>
    </row>
    <row r="97" ht="150" customHeight="1">
      <c r="A97" s="83" t="inlineStr">
        <is>
          <t>WHO — Laboratory Biosafety Manual (BSL-3)</t>
        </is>
      </c>
      <c r="B97" s="84" t="n"/>
      <c r="C97" s="84" t="n"/>
      <c r="D97" s="84" t="n"/>
      <c r="E97" s="85" t="inlineStr">
        <is>
          <t>2004</t>
        </is>
      </c>
      <c r="F97" s="84" t="n"/>
      <c r="G97" s="84" t="n"/>
      <c r="H97" s="84" t="n"/>
      <c r="I97" s="85" t="inlineStr">
        <is>
          <t>12–15 ACH</t>
        </is>
      </c>
      <c r="J97" s="84" t="n"/>
      <c r="K97" s="84" t="n"/>
      <c r="L97" s="84" t="n"/>
      <c r="M97" s="83" t="inlineStr">
        <is>
          <t>12 ACH = umbral inferior BSL-3</t>
        </is>
      </c>
      <c r="N97" s="84" t="n"/>
      <c r="O97" s="84" t="n"/>
    </row>
    <row r="98" ht="200" customHeight="1">
      <c r="A98" s="83" t="inlineStr">
        <is>
          <t>NIH — Design Requirements Manual</t>
        </is>
      </c>
      <c r="B98" s="84" t="n"/>
      <c r="C98" s="84" t="n"/>
      <c r="D98" s="84" t="n"/>
      <c r="E98" s="85" t="inlineStr">
        <is>
          <t>2023</t>
        </is>
      </c>
      <c r="F98" s="84" t="n"/>
      <c r="G98" s="84" t="n"/>
      <c r="H98" s="84" t="n"/>
      <c r="I98" s="85" t="inlineStr">
        <is>
          <t>10–12 ACH</t>
        </is>
      </c>
      <c r="J98" s="84" t="n"/>
      <c r="K98" s="84" t="n"/>
      <c r="L98" s="84" t="n"/>
      <c r="M98" s="83" t="inlineStr">
        <is>
          <t>Punto de diseño para laboratorios biomédicos</t>
        </is>
      </c>
      <c r="N98" s="84" t="n"/>
      <c r="O98" s="84" t="n"/>
    </row>
    <row r="99" ht="150" customHeight="1">
      <c r="A99" s="83" t="inlineStr">
        <is>
          <t>ASHRAE Handbook — Fundamentals</t>
        </is>
      </c>
      <c r="B99" s="84" t="n"/>
      <c r="C99" s="84" t="n"/>
      <c r="D99" s="84" t="n"/>
      <c r="E99" s="85" t="inlineStr">
        <is>
          <t>2021</t>
        </is>
      </c>
      <c r="F99" s="84" t="n"/>
      <c r="G99" s="84" t="n"/>
      <c r="H99" s="84" t="n"/>
      <c r="I99" s="85" t="inlineStr">
        <is>
          <t>—</t>
        </is>
      </c>
      <c r="J99" s="84" t="n"/>
      <c r="K99" s="84" t="n"/>
      <c r="L99" s="84" t="n"/>
      <c r="M99" s="83" t="inlineStr">
        <is>
          <t>Coeficiente de descarga de orificios (Cd)</t>
        </is>
      </c>
      <c r="N99" s="84" t="n"/>
      <c r="O99" s="84" t="n"/>
    </row>
    <row r="100" ht="200" customHeight="1">
      <c r="A100" s="83" t="inlineStr">
        <is>
          <t>RETIE (Colombia)</t>
        </is>
      </c>
      <c r="B100" s="84" t="n"/>
      <c r="C100" s="84" t="n"/>
      <c r="D100" s="84" t="n"/>
      <c r="E100" s="85" t="inlineStr">
        <is>
          <t>vigente</t>
        </is>
      </c>
      <c r="F100" s="84" t="n"/>
      <c r="G100" s="84" t="n"/>
      <c r="H100" s="84" t="n"/>
      <c r="I100" s="85" t="inlineStr">
        <is>
          <t>—</t>
        </is>
      </c>
      <c r="J100" s="84" t="n"/>
      <c r="K100" s="84" t="n"/>
      <c r="L100" s="84" t="n"/>
      <c r="M100" s="83" t="inlineStr">
        <is>
          <t>Seguridad eléctrica del motor del ventilador</t>
        </is>
      </c>
      <c r="N100" s="84" t="n"/>
      <c r="O100" s="84" t="n"/>
    </row>
    <row r="101" ht="150" customHeight="1">
      <c r="A101" s="83" t="inlineStr">
        <is>
          <t>NTC 2050 (Colombia)</t>
        </is>
      </c>
      <c r="B101" s="84" t="n"/>
      <c r="C101" s="84" t="n"/>
      <c r="D101" s="84" t="n"/>
      <c r="E101" s="85" t="inlineStr">
        <is>
          <t>vigente</t>
        </is>
      </c>
      <c r="F101" s="84" t="n"/>
      <c r="G101" s="84" t="n"/>
      <c r="H101" s="84" t="n"/>
      <c r="I101" s="85" t="inlineStr">
        <is>
          <t>—</t>
        </is>
      </c>
      <c r="J101" s="84" t="n"/>
      <c r="K101" s="84" t="n"/>
      <c r="L101" s="84" t="n"/>
      <c r="M101" s="83" t="inlineStr">
        <is>
          <t>Circuitos y protecciones eléctricas</t>
        </is>
      </c>
      <c r="N101" s="84" t="n"/>
      <c r="O101" s="84" t="n"/>
    </row>
    <row r="102" ht="200" customHeight="1">
      <c r="A102" s="83" t="inlineStr">
        <is>
          <t>Resolución 0312/2019 MinSalud (Colombia)</t>
        </is>
      </c>
      <c r="B102" s="84" t="n"/>
      <c r="C102" s="84" t="n"/>
      <c r="D102" s="84" t="n"/>
      <c r="E102" s="85" t="inlineStr">
        <is>
          <t>2019</t>
        </is>
      </c>
      <c r="F102" s="84" t="n"/>
      <c r="G102" s="84" t="n"/>
      <c r="H102" s="84" t="n"/>
      <c r="I102" s="85" t="inlineStr">
        <is>
          <t>—</t>
        </is>
      </c>
      <c r="J102" s="84" t="n"/>
      <c r="K102" s="84" t="n"/>
      <c r="L102" s="84" t="n"/>
      <c r="M102" s="83" t="inlineStr">
        <is>
          <t>Habilitación de servicios de salud (si aplica)</t>
        </is>
      </c>
      <c r="N102" s="84" t="n"/>
      <c r="O102" s="84" t="n"/>
    </row>
    <row r="103" ht="50" customHeight="1"/>
    <row r="104" ht="50" customHeight="1">
      <c r="A104" s="81" t="inlineStr">
        <is>
          <t>Conclusión</t>
        </is>
      </c>
    </row>
    <row r="105" ht="500" customHeight="1">
      <c r="A105" s="86" t="inlineStr">
        <is>
          <t>La selección de 12 renovaciones de aire por hora está sustentada por las guías internacionales de bioseguridad (WHO BSL-2/BSL-3, NIH DRM) y los estándares de ventilación de ASHRAE para instalaciones de salud. El marco regulatorio local (RETIE, NTC 2050, Resolución 0312/2019) aplica a la infraestructura y seguridad eléctrica del equipo; no existe norma colombiana que fije un valor de ACH distinto para este caso.</t>
        </is>
      </c>
    </row>
    <row r="106" ht="50" customHeight="1"/>
    <row r="107" ht="50" customHeight="1"/>
    <row r="108" ht="50" customHeight="1"/>
    <row r="109" ht="200" customHeight="1">
      <c r="A109" s="81" t="inlineStr">
        <is>
          <t>6. ESCENARIOS DE FILTRACIÓN Y MOTOR RECOMENDADO</t>
        </is>
      </c>
    </row>
    <row r="110" ht="650" customHeight="1">
      <c r="A110" s="86" t="inlineStr">
        <is>
          <t>ΔP_vent total = ΔP_filtro + ΔP_rejillas (11 Pa). Sin presurización. El caudal Q_s se toma del paso 4 de la sección 3 (celda J50). Sitio: Cajicá, Cundinamarca (2 558 msnm, ρ = 0.88 kg/m³).</t>
        </is>
      </c>
    </row>
    <row r="111" ht="50" customHeight="1"/>
    <row r="112" ht="100" customHeight="1">
      <c r="A112" s="82" t="inlineStr">
        <is>
          <t>Escenario de filtración</t>
        </is>
      </c>
      <c r="B112" s="82" t="n"/>
      <c r="C112" s="82" t="n"/>
      <c r="D112" s="82" t="inlineStr">
        <is>
          <t>ΔP filtro (Pa)</t>
        </is>
      </c>
      <c r="E112" s="82" t="n"/>
      <c r="F112" s="82" t="n"/>
      <c r="G112" s="82" t="inlineStr">
        <is>
          <t>ΔP vent total (Pa)</t>
        </is>
      </c>
      <c r="H112" s="82" t="n"/>
      <c r="I112" s="82" t="n"/>
      <c r="J112" s="82" t="inlineStr">
        <is>
          <t>P teórica (kW)</t>
        </is>
      </c>
      <c r="K112" s="82" t="n"/>
      <c r="L112" s="82" t="inlineStr">
        <is>
          <t>P teórica (HP)</t>
        </is>
      </c>
      <c r="M112" s="82" t="n"/>
      <c r="N112" s="82" t="inlineStr">
        <is>
          <t>Motor recomendado (HP)</t>
        </is>
      </c>
      <c r="O112" s="82" t="n"/>
    </row>
    <row r="113" ht="100" customHeight="1">
      <c r="A113" s="83" t="inlineStr">
        <is>
          <t>MERV 13-14 limpio</t>
        </is>
      </c>
      <c r="B113" s="84" t="n"/>
      <c r="C113" s="84" t="n"/>
      <c r="D113" s="93" t="n">
        <v>59</v>
      </c>
      <c r="E113" s="94" t="n"/>
      <c r="F113" s="94" t="n"/>
      <c r="G113" s="93">
        <f>D113+11</f>
        <v/>
      </c>
      <c r="H113" s="94" t="n"/>
      <c r="I113" s="94" t="n"/>
      <c r="J113" s="95">
        <f>J50*G113/(0.55*1000)</f>
        <v/>
      </c>
      <c r="K113" s="96" t="n"/>
      <c r="L113" s="95">
        <f>J113*1.341</f>
        <v/>
      </c>
      <c r="M113" s="96" t="n"/>
      <c r="N113" s="93">
        <f>CEILING(L113*1.5,0.25)</f>
        <v/>
      </c>
      <c r="O113" s="94" t="n"/>
    </row>
    <row r="114" ht="100" customHeight="1">
      <c r="A114" s="83" t="inlineStr">
        <is>
          <t>MERV 13-14 cargado (diseño)</t>
        </is>
      </c>
      <c r="B114" s="84" t="n"/>
      <c r="C114" s="84" t="n"/>
      <c r="D114" s="93" t="n">
        <v>154</v>
      </c>
      <c r="E114" s="94" t="n"/>
      <c r="F114" s="94" t="n"/>
      <c r="G114" s="93">
        <f>D114+11</f>
        <v/>
      </c>
      <c r="H114" s="94" t="n"/>
      <c r="I114" s="94" t="n"/>
      <c r="J114" s="95">
        <f>J50*G114/(0.55*1000)</f>
        <v/>
      </c>
      <c r="K114" s="96" t="n"/>
      <c r="L114" s="95">
        <f>J114*1.341</f>
        <v/>
      </c>
      <c r="M114" s="96" t="n"/>
      <c r="N114" s="93">
        <f>CEILING(L114*1.5,0.25)</f>
        <v/>
      </c>
      <c r="O114" s="94" t="n"/>
    </row>
    <row r="115" ht="200" customHeight="1">
      <c r="A115" s="83" t="inlineStr">
        <is>
          <t>HEPA H13 limpio (referencia histórica — no aplica)</t>
        </is>
      </c>
      <c r="B115" s="84" t="n"/>
      <c r="C115" s="84" t="n"/>
      <c r="D115" s="93" t="n">
        <v>250</v>
      </c>
      <c r="E115" s="94" t="n"/>
      <c r="F115" s="94" t="n"/>
      <c r="G115" s="93">
        <f>D115+11</f>
        <v/>
      </c>
      <c r="H115" s="94" t="n"/>
      <c r="I115" s="94" t="n"/>
      <c r="J115" s="95">
        <f>J50*G115/(0.55*1000)</f>
        <v/>
      </c>
      <c r="K115" s="96" t="n"/>
      <c r="L115" s="95">
        <f>J115*1.341</f>
        <v/>
      </c>
      <c r="M115" s="96" t="n"/>
      <c r="N115" s="93">
        <f>CEILING(L115*1.5,0.25)</f>
        <v/>
      </c>
      <c r="O115" s="94" t="n"/>
    </row>
    <row r="116" ht="200" customHeight="1">
      <c r="A116" s="83" t="inlineStr">
        <is>
          <t>HEPA H13 cargado (referencia histórica — no aplica)</t>
        </is>
      </c>
      <c r="B116" s="84" t="n"/>
      <c r="C116" s="84" t="n"/>
      <c r="D116" s="93" t="n">
        <v>600</v>
      </c>
      <c r="E116" s="94" t="n"/>
      <c r="F116" s="94" t="n"/>
      <c r="G116" s="93">
        <f>D116+11</f>
        <v/>
      </c>
      <c r="H116" s="94" t="n"/>
      <c r="I116" s="94" t="n"/>
      <c r="J116" s="95">
        <f>J50*G116/(0.55*1000)</f>
        <v/>
      </c>
      <c r="K116" s="96" t="n"/>
      <c r="L116" s="95">
        <f>J116*1.341</f>
        <v/>
      </c>
      <c r="M116" s="96" t="n"/>
      <c r="N116" s="93">
        <f>CEILING(L116*1.5,0.25)</f>
        <v/>
      </c>
      <c r="O116" s="94" t="n"/>
    </row>
    <row r="117" ht="50" customHeight="1"/>
    <row r="118" ht="50" customHeight="1">
      <c r="A118" s="81" t="inlineStr">
        <is>
          <t>Nota:</t>
        </is>
      </c>
    </row>
    <row r="119" ht="850" customHeight="1">
      <c r="A119" s="86" t="inlineStr">
        <is>
          <t>El motor provisional de 0.75 HP TEFC encapsulado anticorrosivo (en la corriente de aire, transmisión directa del ventilador mural Ø560 mm — uniformidad con el montaje típico de planta) corresponde al escenario MERV 13-14 cargado (punto de diseño), con margen de servicio 1.5 sobre la potencia teórica; la potencia definitiva se fija con la curva del ventilador axial seleccionado. Los escenarios HEPA son solo referencia histórica: el laboratorio de análisis industrial NO requiere HEPA. Para selección de ventilador en catálogo (ρ = 1.2 kg/m³), usar el punto equivalente 3 840 m³/h @ 225 Pa (diseño) o 95 Pa (limpio). La potencia se recalcula automáticamente si cambia el caudal en la sección 3. DESARROLLO DE CÁLCULOS.</t>
        </is>
      </c>
    </row>
    <row r="120" ht="50" customHeight="1"/>
    <row r="121" ht="50" customHeight="1"/>
    <row r="122" ht="50" customHeight="1"/>
    <row r="123" ht="200" customHeight="1">
      <c r="A123" s="81" t="inlineStr">
        <is>
          <t>7. VISTA RÁPIDA — RESULTADOS (FÓRMULAS VIVAS)</t>
        </is>
      </c>
    </row>
    <row r="124" ht="50" customHeight="1"/>
    <row r="125" ht="50" customHeight="1">
      <c r="A125" s="82" t="inlineStr">
        <is>
          <t>Parámetro</t>
        </is>
      </c>
      <c r="B125" s="82" t="n"/>
      <c r="C125" s="82" t="n"/>
      <c r="D125" s="82" t="n"/>
      <c r="E125" s="82" t="inlineStr">
        <is>
          <t>Valor</t>
        </is>
      </c>
      <c r="F125" s="82" t="n"/>
      <c r="G125" s="82" t="n"/>
      <c r="H125" s="82" t="n"/>
      <c r="I125" s="82" t="inlineStr">
        <is>
          <t>Unidad</t>
        </is>
      </c>
      <c r="J125" s="82" t="n"/>
      <c r="K125" s="82" t="n"/>
      <c r="L125" s="82" t="n"/>
      <c r="M125" s="82" t="inlineStr">
        <is>
          <t>Observación</t>
        </is>
      </c>
      <c r="N125" s="82" t="n"/>
      <c r="O125" s="82" t="n"/>
    </row>
    <row r="126" ht="150" customHeight="1">
      <c r="A126" s="83" t="inlineStr">
        <is>
          <t>Caudal de diseño</t>
        </is>
      </c>
      <c r="B126" s="84" t="n"/>
      <c r="C126" s="84" t="n"/>
      <c r="D126" s="84" t="n"/>
      <c r="E126" s="91">
        <f>J47</f>
        <v/>
      </c>
      <c r="F126" s="92" t="n"/>
      <c r="G126" s="92" t="n"/>
      <c r="H126" s="92" t="n"/>
      <c r="I126" s="85" t="inlineStr">
        <is>
          <t>m³/min</t>
        </is>
      </c>
      <c r="J126" s="84" t="n"/>
      <c r="K126" s="84" t="n"/>
      <c r="L126" s="84" t="n"/>
      <c r="M126" s="83" t="inlineStr">
        <is>
          <t>Caudal de impulsión requerido</t>
        </is>
      </c>
      <c r="N126" s="84" t="n"/>
      <c r="O126" s="84" t="n"/>
    </row>
    <row r="127" ht="150" customHeight="1">
      <c r="A127" s="83" t="inlineStr">
        <is>
          <t>Caudal de diseño</t>
        </is>
      </c>
      <c r="B127" s="84" t="n"/>
      <c r="C127" s="84" t="n"/>
      <c r="D127" s="84" t="n"/>
      <c r="E127" s="91">
        <f>J48</f>
        <v/>
      </c>
      <c r="F127" s="92" t="n"/>
      <c r="G127" s="92" t="n"/>
      <c r="H127" s="92" t="n"/>
      <c r="I127" s="85" t="inlineStr">
        <is>
          <t>m³/h</t>
        </is>
      </c>
      <c r="J127" s="84" t="n"/>
      <c r="K127" s="84" t="n"/>
      <c r="L127" s="84" t="n"/>
      <c r="M127" s="83" t="inlineStr">
        <is>
          <t>Equivalente en metros cúbicos por hora</t>
        </is>
      </c>
      <c r="N127" s="84" t="n"/>
      <c r="O127" s="84" t="n"/>
    </row>
    <row r="128" ht="150" customHeight="1">
      <c r="A128" s="83" t="inlineStr">
        <is>
          <t>Caudal de diseño</t>
        </is>
      </c>
      <c r="B128" s="84" t="n"/>
      <c r="C128" s="84" t="n"/>
      <c r="D128" s="84" t="n"/>
      <c r="E128" s="91">
        <f>J49</f>
        <v/>
      </c>
      <c r="F128" s="92" t="n"/>
      <c r="G128" s="92" t="n"/>
      <c r="H128" s="92" t="n"/>
      <c r="I128" s="85" t="inlineStr">
        <is>
          <t>CFM</t>
        </is>
      </c>
      <c r="J128" s="84" t="n"/>
      <c r="K128" s="84" t="n"/>
      <c r="L128" s="84" t="n"/>
      <c r="M128" s="83" t="inlineStr">
        <is>
          <t>Equivalente en pies cúbicos por minuto</t>
        </is>
      </c>
      <c r="N128" s="84" t="n"/>
      <c r="O128" s="84" t="n"/>
    </row>
    <row r="129" ht="150" customHeight="1">
      <c r="A129" s="83" t="inlineStr">
        <is>
          <t>Potencia teórica del ventilador</t>
        </is>
      </c>
      <c r="B129" s="84" t="n"/>
      <c r="C129" s="84" t="n"/>
      <c r="D129" s="84" t="n"/>
      <c r="E129" s="91">
        <f>J51</f>
        <v/>
      </c>
      <c r="F129" s="92" t="n"/>
      <c r="G129" s="92" t="n"/>
      <c r="H129" s="92" t="n"/>
      <c r="I129" s="85" t="inlineStr">
        <is>
          <t>kW</t>
        </is>
      </c>
      <c r="J129" s="84" t="n"/>
      <c r="K129" s="84" t="n"/>
      <c r="L129" s="84" t="n"/>
      <c r="M129" s="83" t="inlineStr">
        <is>
          <t>Escenario MERV cargado a 165 Pa (axial)</t>
        </is>
      </c>
      <c r="N129" s="84" t="n"/>
      <c r="O129" s="84" t="n"/>
    </row>
    <row r="130" ht="150" customHeight="1">
      <c r="A130" s="83" t="inlineStr">
        <is>
          <t>Potencia teórica del ventilador</t>
        </is>
      </c>
      <c r="B130" s="84" t="n"/>
      <c r="C130" s="84" t="n"/>
      <c r="D130" s="84" t="n"/>
      <c r="E130" s="91">
        <f>J52</f>
        <v/>
      </c>
      <c r="F130" s="92" t="n"/>
      <c r="G130" s="92" t="n"/>
      <c r="H130" s="92" t="n"/>
      <c r="I130" s="85" t="inlineStr">
        <is>
          <t>HP</t>
        </is>
      </c>
      <c r="J130" s="84" t="n"/>
      <c r="K130" s="84" t="n"/>
      <c r="L130" s="84" t="n"/>
      <c r="M130" s="83" t="inlineStr">
        <is>
          <t>Unidades imperiales</t>
        </is>
      </c>
      <c r="N130" s="84" t="n"/>
      <c r="O130" s="84" t="n"/>
    </row>
    <row r="131" ht="150" customHeight="1">
      <c r="A131" s="83" t="inlineStr">
        <is>
          <t>Potencia instalada recomendada</t>
        </is>
      </c>
      <c r="B131" s="84" t="n"/>
      <c r="C131" s="84" t="n"/>
      <c r="D131" s="84" t="n"/>
      <c r="E131" s="91">
        <f>CEILING(J52*1.5,0.25)</f>
        <v/>
      </c>
      <c r="F131" s="92" t="n"/>
      <c r="G131" s="92" t="n"/>
      <c r="H131" s="92" t="n"/>
      <c r="I131" s="85" t="inlineStr">
        <is>
          <t>HP</t>
        </is>
      </c>
      <c r="J131" s="84" t="n"/>
      <c r="K131" s="84" t="n"/>
      <c r="L131" s="84" t="n"/>
      <c r="M131" s="83" t="inlineStr">
        <is>
          <t>×1.5 margen de servicio (provisional)</t>
        </is>
      </c>
      <c r="N131" s="84" t="n"/>
      <c r="O131" s="84" t="n"/>
    </row>
    <row r="132" ht="150" customHeight="1">
      <c r="A132" s="83" t="inlineStr">
        <is>
          <t>Área de impulsión del ventilador</t>
        </is>
      </c>
      <c r="B132" s="84" t="n"/>
      <c r="C132" s="84" t="n"/>
      <c r="D132" s="84" t="n"/>
      <c r="E132" s="91">
        <f>J53</f>
        <v/>
      </c>
      <c r="F132" s="92" t="n"/>
      <c r="G132" s="92" t="n"/>
      <c r="H132" s="92" t="n"/>
      <c r="I132" s="85" t="inlineStr">
        <is>
          <t>m²</t>
        </is>
      </c>
      <c r="J132" s="84" t="n"/>
      <c r="K132" s="84" t="n"/>
      <c r="L132" s="84" t="n"/>
      <c r="M132" s="83" t="inlineStr">
        <is>
          <t>Boca del ventilador</t>
        </is>
      </c>
      <c r="N132" s="84" t="n"/>
      <c r="O132" s="84" t="n"/>
    </row>
    <row r="133" ht="150" customHeight="1">
      <c r="A133" s="83" t="inlineStr">
        <is>
          <t>Diámetro equivalente del ventilador</t>
        </is>
      </c>
      <c r="B133" s="84" t="n"/>
      <c r="C133" s="84" t="n"/>
      <c r="D133" s="84" t="n"/>
      <c r="E133" s="91">
        <f>J54</f>
        <v/>
      </c>
      <c r="F133" s="92" t="n"/>
      <c r="G133" s="92" t="n"/>
      <c r="H133" s="92" t="n"/>
      <c r="I133" s="85" t="inlineStr">
        <is>
          <t>m</t>
        </is>
      </c>
      <c r="J133" s="84" t="n"/>
      <c r="K133" s="84" t="n"/>
      <c r="L133" s="84" t="n"/>
      <c r="M133" s="83" t="inlineStr">
        <is>
          <t>Para referencia (BC del CFD, histórica)</t>
        </is>
      </c>
      <c r="N133" s="84" t="n"/>
      <c r="O133" s="84" t="n"/>
    </row>
    <row r="134" ht="200" customHeight="1">
      <c r="A134" s="83" t="inlineStr">
        <is>
          <t>Radio del ventilador (CFD)</t>
        </is>
      </c>
      <c r="B134" s="84" t="n"/>
      <c r="C134" s="84" t="n"/>
      <c r="D134" s="84" t="n"/>
      <c r="E134" s="91">
        <f>J56</f>
        <v/>
      </c>
      <c r="F134" s="92" t="n"/>
      <c r="G134" s="92" t="n"/>
      <c r="H134" s="92" t="n"/>
      <c r="I134" s="85" t="inlineStr">
        <is>
          <t>mm</t>
        </is>
      </c>
      <c r="J134" s="84" t="n"/>
      <c r="K134" s="84" t="n"/>
      <c r="L134" s="84" t="n"/>
      <c r="M134" s="83" t="inlineStr">
        <is>
          <t>Círculo de inyección (BC del CFD, histórica)</t>
        </is>
      </c>
      <c r="N134" s="84" t="n"/>
      <c r="O134" s="84" t="n"/>
    </row>
    <row r="135" ht="200" customHeight="1">
      <c r="A135" s="83" t="inlineStr">
        <is>
          <t>Diámetro del impulsor seleccionado</t>
        </is>
      </c>
      <c r="B135" s="84" t="n"/>
      <c r="C135" s="84" t="n"/>
      <c r="D135" s="84" t="n"/>
      <c r="E135" s="91" t="n">
        <v>0.5600000000000001</v>
      </c>
      <c r="F135" s="92" t="n"/>
      <c r="G135" s="92" t="n"/>
      <c r="H135" s="92" t="n"/>
      <c r="I135" s="85" t="inlineStr">
        <is>
          <t>m</t>
        </is>
      </c>
      <c r="J135" s="84" t="n"/>
      <c r="K135" s="84" t="n"/>
      <c r="L135" s="84" t="n"/>
      <c r="M135" s="83" t="inlineStr">
        <is>
          <t>Ø560 mm — uniformidad con montaje típico de planta</t>
        </is>
      </c>
      <c r="N135" s="84" t="n"/>
      <c r="O135" s="84" t="n"/>
    </row>
    <row r="136" ht="100" customHeight="1">
      <c r="A136" s="83" t="inlineStr">
        <is>
          <t>Área de boca real (Ø560 mm)</t>
        </is>
      </c>
      <c r="B136" s="84" t="n"/>
      <c r="C136" s="84" t="n"/>
      <c r="D136" s="84" t="n"/>
      <c r="E136" s="91">
        <f>PI()*(0.56/2)^2</f>
        <v/>
      </c>
      <c r="F136" s="92" t="n"/>
      <c r="G136" s="92" t="n"/>
      <c r="H136" s="92" t="n"/>
      <c r="I136" s="85" t="inlineStr">
        <is>
          <t>m²</t>
        </is>
      </c>
      <c r="J136" s="84" t="n"/>
      <c r="K136" s="84" t="n"/>
      <c r="L136" s="84" t="n"/>
      <c r="M136" s="83" t="inlineStr">
        <is>
          <t>π × (D/2)²</t>
        </is>
      </c>
      <c r="N136" s="84" t="n"/>
      <c r="O136" s="84" t="n"/>
    </row>
    <row r="137" ht="150" customHeight="1">
      <c r="A137" s="83" t="inlineStr">
        <is>
          <t>Velocidad real en boca (Ø560 mm)</t>
        </is>
      </c>
      <c r="B137" s="84" t="n"/>
      <c r="C137" s="84" t="n"/>
      <c r="D137" s="84" t="n"/>
      <c r="E137" s="91">
        <f>J50/(PI()*(0.56/2)^2)</f>
        <v/>
      </c>
      <c r="F137" s="92" t="n"/>
      <c r="G137" s="92" t="n"/>
      <c r="H137" s="92" t="n"/>
      <c r="I137" s="85" t="inlineStr">
        <is>
          <t>m/s</t>
        </is>
      </c>
      <c r="J137" s="84" t="n"/>
      <c r="K137" s="84" t="n"/>
      <c r="L137" s="84" t="n"/>
      <c r="M137" s="83" t="inlineStr">
        <is>
          <t>Q_s / A_boca real ≈ 4,33 m/s</t>
        </is>
      </c>
      <c r="N137" s="84" t="n"/>
      <c r="O137" s="84" t="n"/>
    </row>
    <row r="138" ht="100" customHeight="1">
      <c r="A138" s="83" t="inlineStr">
        <is>
          <t>Velocidad de impulsión</t>
        </is>
      </c>
      <c r="B138" s="84" t="n"/>
      <c r="C138" s="84" t="n"/>
      <c r="D138" s="84" t="n"/>
      <c r="E138" s="91">
        <f>G32</f>
        <v/>
      </c>
      <c r="F138" s="92" t="n"/>
      <c r="G138" s="92" t="n"/>
      <c r="H138" s="92" t="n"/>
      <c r="I138" s="85" t="inlineStr">
        <is>
          <t>m/s</t>
        </is>
      </c>
      <c r="J138" s="84" t="n"/>
      <c r="K138" s="84" t="n"/>
      <c r="L138" s="84" t="n"/>
      <c r="M138" s="83" t="inlineStr">
        <is>
          <t>Condición de entrada CFD</t>
        </is>
      </c>
      <c r="N138" s="84" t="n"/>
      <c r="O138" s="84" t="n"/>
    </row>
    <row r="139" ht="150" customHeight="1">
      <c r="A139" s="83" t="inlineStr">
        <is>
          <t>Área neta total de rejillas de salida</t>
        </is>
      </c>
      <c r="B139" s="84" t="n"/>
      <c r="C139" s="84" t="n"/>
      <c r="D139" s="84" t="n"/>
      <c r="E139" s="91">
        <f>J57</f>
        <v/>
      </c>
      <c r="F139" s="92" t="n"/>
      <c r="G139" s="92" t="n"/>
      <c r="H139" s="92" t="n"/>
      <c r="I139" s="85" t="inlineStr">
        <is>
          <t>m²</t>
        </is>
      </c>
      <c r="J139" s="84" t="n"/>
      <c r="K139" s="84" t="n"/>
      <c r="L139" s="84" t="n"/>
      <c r="M139" s="83" t="inlineStr">
        <is>
          <t>A v=3 m/s</t>
        </is>
      </c>
      <c r="N139" s="84" t="n"/>
      <c r="O139" s="84" t="n"/>
    </row>
    <row r="140" ht="100" customHeight="1">
      <c r="A140" s="83" t="inlineStr">
        <is>
          <t>Número de rejillas de salida</t>
        </is>
      </c>
      <c r="B140" s="84" t="n"/>
      <c r="C140" s="84" t="n"/>
      <c r="D140" s="84" t="n"/>
      <c r="E140" s="91">
        <f>G34</f>
        <v/>
      </c>
      <c r="F140" s="92" t="n"/>
      <c r="G140" s="92" t="n"/>
      <c r="H140" s="92" t="n"/>
      <c r="I140" s="85" t="inlineStr">
        <is>
          <t>unid.</t>
        </is>
      </c>
      <c r="J140" s="84" t="n"/>
      <c r="K140" s="84" t="n"/>
      <c r="L140" s="84" t="n"/>
      <c r="M140" s="83" t="inlineStr">
        <is>
          <t>Distribución propuesta</t>
        </is>
      </c>
      <c r="N140" s="84" t="n"/>
      <c r="O140" s="84" t="n"/>
    </row>
    <row r="141" ht="150" customHeight="1">
      <c r="A141" s="83" t="inlineStr">
        <is>
          <t>Área neta por rejilla de salida</t>
        </is>
      </c>
      <c r="B141" s="84" t="n"/>
      <c r="C141" s="84" t="n"/>
      <c r="D141" s="84" t="n"/>
      <c r="E141" s="91">
        <f>J58</f>
        <v/>
      </c>
      <c r="F141" s="92" t="n"/>
      <c r="G141" s="92" t="n"/>
      <c r="H141" s="92" t="n"/>
      <c r="I141" s="85" t="inlineStr">
        <is>
          <t>m²</t>
        </is>
      </c>
      <c r="J141" s="84" t="n"/>
      <c r="K141" s="84" t="n"/>
      <c r="L141" s="84" t="n"/>
      <c r="M141" s="83" t="inlineStr">
        <is>
          <t>Cada rejilla</t>
        </is>
      </c>
      <c r="N141" s="84" t="n"/>
      <c r="O141" s="84" t="n"/>
    </row>
    <row r="142" ht="100" customHeight="1">
      <c r="A142" s="83" t="inlineStr">
        <is>
          <t>Altura de rejilla de salida</t>
        </is>
      </c>
      <c r="B142" s="84" t="n"/>
      <c r="C142" s="84" t="n"/>
      <c r="D142" s="84" t="n"/>
      <c r="E142" s="91">
        <f>J61</f>
        <v/>
      </c>
      <c r="F142" s="92" t="n"/>
      <c r="G142" s="92" t="n"/>
      <c r="H142" s="92" t="n"/>
      <c r="I142" s="85" t="inlineStr">
        <is>
          <t>mm</t>
        </is>
      </c>
      <c r="J142" s="84" t="n"/>
      <c r="K142" s="84" t="n"/>
      <c r="L142" s="84" t="n"/>
      <c r="M142" s="83" t="inlineStr">
        <is>
          <t>Dimensiones para CFD</t>
        </is>
      </c>
      <c r="N142" s="84" t="n"/>
      <c r="O142" s="84" t="n"/>
    </row>
    <row r="143" ht="100" customHeight="1">
      <c r="A143" s="83" t="inlineStr">
        <is>
          <t>Ancho de rejilla de salida</t>
        </is>
      </c>
      <c r="B143" s="84" t="n"/>
      <c r="C143" s="84" t="n"/>
      <c r="D143" s="84" t="n"/>
      <c r="E143" s="91">
        <f>J62</f>
        <v/>
      </c>
      <c r="F143" s="92" t="n"/>
      <c r="G143" s="92" t="n"/>
      <c r="H143" s="92" t="n"/>
      <c r="I143" s="85" t="inlineStr">
        <is>
          <t>mm</t>
        </is>
      </c>
      <c r="J143" s="84" t="n"/>
      <c r="K143" s="84" t="n"/>
      <c r="L143" s="84" t="n"/>
      <c r="M143" s="83" t="inlineStr">
        <is>
          <t>Dimensiones para CFD</t>
        </is>
      </c>
      <c r="N143" s="84" t="n"/>
      <c r="O143" s="84" t="n"/>
    </row>
    <row r="144" ht="100" customHeight="1">
      <c r="A144" s="83" t="inlineStr">
        <is>
          <t>Velocidad de exfiltración</t>
        </is>
      </c>
      <c r="B144" s="84" t="n"/>
      <c r="C144" s="84" t="n"/>
      <c r="D144" s="84" t="n"/>
      <c r="E144" s="91">
        <f>G33</f>
        <v/>
      </c>
      <c r="F144" s="92" t="n"/>
      <c r="G144" s="92" t="n"/>
      <c r="H144" s="92" t="n"/>
      <c r="I144" s="85" t="inlineStr">
        <is>
          <t>m/s</t>
        </is>
      </c>
      <c r="J144" s="84" t="n"/>
      <c r="K144" s="84" t="n"/>
      <c r="L144" s="84" t="n"/>
      <c r="M144" s="83" t="inlineStr">
        <is>
          <t>Condición de salida CFD</t>
        </is>
      </c>
      <c r="N144" s="84" t="n"/>
      <c r="O144" s="84" t="n"/>
    </row>
    <row r="145" ht="150" customHeight="1">
      <c r="A145" s="83" t="inlineStr">
        <is>
          <t>Pérdida de presión en rejillas</t>
        </is>
      </c>
      <c r="B145" s="84" t="n"/>
      <c r="C145" s="84" t="n"/>
      <c r="D145" s="84" t="n"/>
      <c r="E145" s="91">
        <f>J63</f>
        <v/>
      </c>
      <c r="F145" s="92" t="n"/>
      <c r="G145" s="92" t="n"/>
      <c r="H145" s="92" t="n"/>
      <c r="I145" s="85" t="inlineStr">
        <is>
          <t>Pa</t>
        </is>
      </c>
      <c r="J145" s="84" t="n"/>
      <c r="K145" s="84" t="n"/>
      <c r="L145" s="84" t="n"/>
      <c r="M145" s="83" t="inlineStr">
        <is>
          <t>Descarga libre a atmósfera, Cd=0.6</t>
        </is>
      </c>
      <c r="N145" s="84" t="n"/>
      <c r="O145" s="84" t="n"/>
    </row>
    <row r="146" ht="50" customHeight="1"/>
    <row r="147" ht="50" customHeight="1">
      <c r="A147" s="81" t="inlineStr">
        <is>
          <t>Nota:</t>
        </is>
      </c>
    </row>
    <row r="148" ht="300" customHeight="1">
      <c r="A148" s="86" t="inlineStr">
        <is>
          <t>Sección con fórmulas vivas que referencian las secciones 3. DESARROLLO DE CÁLCULOS y 2. PARÁMETROS DE ENTRADA de esta misma hoja. Si modifica las entradas, esta vista y la sección 4. RESULTADOS se actualizan automáticamente.</t>
        </is>
      </c>
    </row>
    <row r="149" ht="50" customHeight="1"/>
    <row r="150" ht="50" customHeight="1"/>
  </sheetData>
  <mergeCells count="469">
    <mergeCell ref="A25:O25"/>
    <mergeCell ref="G112:I112"/>
    <mergeCell ref="N113:O113"/>
    <mergeCell ref="D116:F116"/>
    <mergeCell ref="G62:I62"/>
    <mergeCell ref="A134:D134"/>
    <mergeCell ref="J59:K59"/>
    <mergeCell ref="D53:F53"/>
    <mergeCell ref="M81:O81"/>
    <mergeCell ref="D47:F47"/>
    <mergeCell ref="A57:C57"/>
    <mergeCell ref="A113:C113"/>
    <mergeCell ref="M145:O145"/>
    <mergeCell ref="A73:D73"/>
    <mergeCell ref="M76:O76"/>
    <mergeCell ref="A52:C52"/>
    <mergeCell ref="E82:H82"/>
    <mergeCell ref="A34:C34"/>
    <mergeCell ref="A40:O40"/>
    <mergeCell ref="E128:H128"/>
    <mergeCell ref="G36:I36"/>
    <mergeCell ref="A49:C49"/>
    <mergeCell ref="J62:K62"/>
    <mergeCell ref="A17:D17"/>
    <mergeCell ref="M94:O94"/>
    <mergeCell ref="A126:D126"/>
    <mergeCell ref="M31:O31"/>
    <mergeCell ref="J57:K57"/>
    <mergeCell ref="L57:M57"/>
    <mergeCell ref="A55:C55"/>
    <mergeCell ref="E75:H75"/>
    <mergeCell ref="M95:O95"/>
    <mergeCell ref="E12:H12"/>
    <mergeCell ref="N115:O115"/>
    <mergeCell ref="A142:D142"/>
    <mergeCell ref="A29:C29"/>
    <mergeCell ref="M97:O97"/>
    <mergeCell ref="G51:I51"/>
    <mergeCell ref="N52:O52"/>
    <mergeCell ref="D55:F55"/>
    <mergeCell ref="E14:H14"/>
    <mergeCell ref="M72:O72"/>
    <mergeCell ref="A79:D79"/>
    <mergeCell ref="I70:L70"/>
    <mergeCell ref="A31:C31"/>
    <mergeCell ref="A58:C58"/>
    <mergeCell ref="N116:O116"/>
    <mergeCell ref="I134:L134"/>
    <mergeCell ref="A137:D137"/>
    <mergeCell ref="A60:C60"/>
    <mergeCell ref="I96:L96"/>
    <mergeCell ref="I71:L71"/>
    <mergeCell ref="A74:D74"/>
    <mergeCell ref="A145:D145"/>
    <mergeCell ref="A139:D139"/>
    <mergeCell ref="I98:L98"/>
    <mergeCell ref="A76:D76"/>
    <mergeCell ref="A41:O41"/>
    <mergeCell ref="A140:D140"/>
    <mergeCell ref="A50:C50"/>
    <mergeCell ref="L47:M47"/>
    <mergeCell ref="G58:I58"/>
    <mergeCell ref="M85:O85"/>
    <mergeCell ref="A92:D92"/>
    <mergeCell ref="D51:F51"/>
    <mergeCell ref="A94:D94"/>
    <mergeCell ref="M32:O32"/>
    <mergeCell ref="L58:M58"/>
    <mergeCell ref="A69:D69"/>
    <mergeCell ref="I126:L126"/>
    <mergeCell ref="L50:M50"/>
    <mergeCell ref="A87:D87"/>
    <mergeCell ref="M96:O96"/>
    <mergeCell ref="A9:O9"/>
    <mergeCell ref="A133:D133"/>
    <mergeCell ref="L60:M60"/>
    <mergeCell ref="E13:H13"/>
    <mergeCell ref="N60:O60"/>
    <mergeCell ref="E84:H84"/>
    <mergeCell ref="E78:H78"/>
    <mergeCell ref="L52:M52"/>
    <mergeCell ref="M98:O98"/>
    <mergeCell ref="A11:O11"/>
    <mergeCell ref="E15:H15"/>
    <mergeCell ref="E86:H86"/>
    <mergeCell ref="E80:H80"/>
    <mergeCell ref="I142:L142"/>
    <mergeCell ref="A65:O65"/>
    <mergeCell ref="E144:H144"/>
    <mergeCell ref="I79:L79"/>
    <mergeCell ref="N47:O47"/>
    <mergeCell ref="I73:L73"/>
    <mergeCell ref="J112:K112"/>
    <mergeCell ref="M16:O16"/>
    <mergeCell ref="E81:H81"/>
    <mergeCell ref="I137:L137"/>
    <mergeCell ref="A67:D67"/>
    <mergeCell ref="M27:O27"/>
    <mergeCell ref="M18:O18"/>
    <mergeCell ref="A82:D82"/>
    <mergeCell ref="I139:L139"/>
    <mergeCell ref="A21:O23"/>
    <mergeCell ref="M91:O91"/>
    <mergeCell ref="J55:K55"/>
    <mergeCell ref="L55:M55"/>
    <mergeCell ref="G60:I60"/>
    <mergeCell ref="M93:O93"/>
    <mergeCell ref="I92:L92"/>
    <mergeCell ref="A95:D95"/>
    <mergeCell ref="N114:O114"/>
    <mergeCell ref="I67:L67"/>
    <mergeCell ref="A97:D97"/>
    <mergeCell ref="A46:C46"/>
    <mergeCell ref="A72:D72"/>
    <mergeCell ref="L53:M53"/>
    <mergeCell ref="M12:O12"/>
    <mergeCell ref="N53:O53"/>
    <mergeCell ref="E125:H125"/>
    <mergeCell ref="N3:O3"/>
    <mergeCell ref="D37:F37"/>
    <mergeCell ref="A104:O104"/>
    <mergeCell ref="N46:O46"/>
    <mergeCell ref="I81:L81"/>
    <mergeCell ref="E129:H129"/>
    <mergeCell ref="N61:O61"/>
    <mergeCell ref="N5:O5"/>
    <mergeCell ref="N48:O48"/>
    <mergeCell ref="I145:L145"/>
    <mergeCell ref="E131:H131"/>
    <mergeCell ref="I16:L16"/>
    <mergeCell ref="I76:L76"/>
    <mergeCell ref="A16:D16"/>
    <mergeCell ref="M130:O130"/>
    <mergeCell ref="J29:L29"/>
    <mergeCell ref="M68:O68"/>
    <mergeCell ref="I18:L18"/>
    <mergeCell ref="M67:O67"/>
    <mergeCell ref="E99:H99"/>
    <mergeCell ref="M132:O132"/>
    <mergeCell ref="A85:D85"/>
    <mergeCell ref="M69:O69"/>
    <mergeCell ref="E101:H101"/>
    <mergeCell ref="D27:F27"/>
    <mergeCell ref="G28:I28"/>
    <mergeCell ref="E100:H100"/>
    <mergeCell ref="N51:O51"/>
    <mergeCell ref="E136:H136"/>
    <mergeCell ref="G30:I30"/>
    <mergeCell ref="I94:L94"/>
    <mergeCell ref="M37:O37"/>
    <mergeCell ref="E102:H102"/>
    <mergeCell ref="A32:C32"/>
    <mergeCell ref="J49:K49"/>
    <mergeCell ref="I77:L77"/>
    <mergeCell ref="I133:L133"/>
    <mergeCell ref="I95:L95"/>
    <mergeCell ref="A98:D98"/>
    <mergeCell ref="M14:O14"/>
    <mergeCell ref="E127:H127"/>
    <mergeCell ref="G54:I54"/>
    <mergeCell ref="A20:O20"/>
    <mergeCell ref="I135:L135"/>
    <mergeCell ref="G56:I56"/>
    <mergeCell ref="I72:L72"/>
    <mergeCell ref="N6:O6"/>
    <mergeCell ref="J37:L37"/>
    <mergeCell ref="D46:F46"/>
    <mergeCell ref="N4:O4"/>
    <mergeCell ref="M138:O138"/>
    <mergeCell ref="I17:L17"/>
    <mergeCell ref="A91:D91"/>
    <mergeCell ref="I82:L82"/>
    <mergeCell ref="M140:O140"/>
    <mergeCell ref="G34:I34"/>
    <mergeCell ref="A93:D93"/>
    <mergeCell ref="A68:D68"/>
    <mergeCell ref="M77:O77"/>
    <mergeCell ref="A105:O107"/>
    <mergeCell ref="M133:O133"/>
    <mergeCell ref="J32:L32"/>
    <mergeCell ref="M33:O33"/>
    <mergeCell ref="A47:C47"/>
    <mergeCell ref="G113:I113"/>
    <mergeCell ref="M135:O135"/>
    <mergeCell ref="G29:I29"/>
    <mergeCell ref="D33:F33"/>
    <mergeCell ref="G31:I31"/>
    <mergeCell ref="D35:F35"/>
    <mergeCell ref="D59:F59"/>
    <mergeCell ref="M87:O87"/>
    <mergeCell ref="J113:K113"/>
    <mergeCell ref="L113:M113"/>
    <mergeCell ref="D34:F34"/>
    <mergeCell ref="A39:O39"/>
    <mergeCell ref="I97:L97"/>
    <mergeCell ref="J50:K50"/>
    <mergeCell ref="A12:D12"/>
    <mergeCell ref="J115:K115"/>
    <mergeCell ref="L115:M115"/>
    <mergeCell ref="D36:F36"/>
    <mergeCell ref="J52:K52"/>
    <mergeCell ref="M82:O82"/>
    <mergeCell ref="A14:D14"/>
    <mergeCell ref="E70:H70"/>
    <mergeCell ref="G57:I57"/>
    <mergeCell ref="D61:F61"/>
    <mergeCell ref="J116:K116"/>
    <mergeCell ref="D48:F48"/>
    <mergeCell ref="G49:I49"/>
    <mergeCell ref="E134:H134"/>
    <mergeCell ref="D112:F112"/>
    <mergeCell ref="A116:C116"/>
    <mergeCell ref="D62:F62"/>
    <mergeCell ref="A130:D130"/>
    <mergeCell ref="D56:F56"/>
    <mergeCell ref="A53:C53"/>
    <mergeCell ref="D114:F114"/>
    <mergeCell ref="N1:O1"/>
    <mergeCell ref="A138:D138"/>
    <mergeCell ref="A132:D132"/>
    <mergeCell ref="E83:H83"/>
    <mergeCell ref="M141:O141"/>
    <mergeCell ref="E140:H140"/>
    <mergeCell ref="J63:K63"/>
    <mergeCell ref="I91:L91"/>
    <mergeCell ref="L63:M63"/>
    <mergeCell ref="I85:L85"/>
    <mergeCell ref="M34:O34"/>
    <mergeCell ref="A48:C48"/>
    <mergeCell ref="J47:K47"/>
    <mergeCell ref="M83:O83"/>
    <mergeCell ref="M143:O143"/>
    <mergeCell ref="I93:L93"/>
    <mergeCell ref="A110:O110"/>
    <mergeCell ref="A148:O150"/>
    <mergeCell ref="G116:I116"/>
    <mergeCell ref="M78:O78"/>
    <mergeCell ref="D49:F49"/>
    <mergeCell ref="A37:C37"/>
    <mergeCell ref="A118:O118"/>
    <mergeCell ref="J35:L35"/>
    <mergeCell ref="A13:D13"/>
    <mergeCell ref="J60:K60"/>
    <mergeCell ref="L116:M116"/>
    <mergeCell ref="J53:K53"/>
    <mergeCell ref="A15:D15"/>
    <mergeCell ref="E71:H71"/>
    <mergeCell ref="E142:H142"/>
    <mergeCell ref="G63:I63"/>
    <mergeCell ref="G50:I50"/>
    <mergeCell ref="A63:C63"/>
    <mergeCell ref="E79:H79"/>
    <mergeCell ref="E73:H73"/>
    <mergeCell ref="M131:O131"/>
    <mergeCell ref="A44:O44"/>
    <mergeCell ref="G52:I52"/>
    <mergeCell ref="E137:H137"/>
    <mergeCell ref="E74:H74"/>
    <mergeCell ref="I130:L130"/>
    <mergeCell ref="I68:L68"/>
    <mergeCell ref="J58:K58"/>
    <mergeCell ref="B1:B5"/>
    <mergeCell ref="D57:F57"/>
    <mergeCell ref="A141:D141"/>
    <mergeCell ref="I132:L132"/>
    <mergeCell ref="A135:D135"/>
    <mergeCell ref="M84:O84"/>
    <mergeCell ref="M75:O75"/>
    <mergeCell ref="M15:O15"/>
    <mergeCell ref="M86:O86"/>
    <mergeCell ref="M80:O80"/>
    <mergeCell ref="A42:O42"/>
    <mergeCell ref="G55:I55"/>
    <mergeCell ref="E67:H67"/>
    <mergeCell ref="D60:F60"/>
    <mergeCell ref="E87:H87"/>
    <mergeCell ref="I125:L125"/>
    <mergeCell ref="A128:D128"/>
    <mergeCell ref="A51:C51"/>
    <mergeCell ref="L59:M59"/>
    <mergeCell ref="A136:D136"/>
    <mergeCell ref="J46:K46"/>
    <mergeCell ref="I127:L127"/>
    <mergeCell ref="L46:M46"/>
    <mergeCell ref="M70:O70"/>
    <mergeCell ref="A129:D129"/>
    <mergeCell ref="M35:O35"/>
    <mergeCell ref="J61:K61"/>
    <mergeCell ref="L61:M61"/>
    <mergeCell ref="J48:K48"/>
    <mergeCell ref="L48:M48"/>
    <mergeCell ref="M99:O99"/>
    <mergeCell ref="A131:D131"/>
    <mergeCell ref="G53:I53"/>
    <mergeCell ref="N54:O54"/>
    <mergeCell ref="E16:H16"/>
    <mergeCell ref="L112:M112"/>
    <mergeCell ref="E76:H76"/>
    <mergeCell ref="N112:O112"/>
    <mergeCell ref="I138:L138"/>
    <mergeCell ref="M30:O30"/>
    <mergeCell ref="N56:O56"/>
    <mergeCell ref="E18:H18"/>
    <mergeCell ref="I69:L69"/>
    <mergeCell ref="A83:D83"/>
    <mergeCell ref="I140:L140"/>
    <mergeCell ref="A143:D143"/>
    <mergeCell ref="D58:F58"/>
    <mergeCell ref="A62:C62"/>
    <mergeCell ref="A28:C28"/>
    <mergeCell ref="E92:H92"/>
    <mergeCell ref="M125:O125"/>
    <mergeCell ref="L114:M114"/>
    <mergeCell ref="A78:D78"/>
    <mergeCell ref="A30:C30"/>
    <mergeCell ref="N59:O59"/>
    <mergeCell ref="A59:C59"/>
    <mergeCell ref="E94:H94"/>
    <mergeCell ref="M127:O127"/>
    <mergeCell ref="A1:A5"/>
    <mergeCell ref="A80:D80"/>
    <mergeCell ref="A61:C61"/>
    <mergeCell ref="I87:L87"/>
    <mergeCell ref="E95:H95"/>
    <mergeCell ref="A119:O121"/>
    <mergeCell ref="A54:C54"/>
    <mergeCell ref="M13:O13"/>
    <mergeCell ref="A27:C27"/>
    <mergeCell ref="A56:C56"/>
    <mergeCell ref="E72:H72"/>
    <mergeCell ref="A89:O89"/>
    <mergeCell ref="I128:L128"/>
    <mergeCell ref="M36:O36"/>
    <mergeCell ref="L62:M62"/>
    <mergeCell ref="M101:O101"/>
    <mergeCell ref="N62:O62"/>
    <mergeCell ref="M100:O100"/>
    <mergeCell ref="A147:O147"/>
    <mergeCell ref="E17:H17"/>
    <mergeCell ref="E126:H126"/>
    <mergeCell ref="L51:M51"/>
    <mergeCell ref="M102:O102"/>
    <mergeCell ref="N57:O57"/>
    <mergeCell ref="A84:D84"/>
    <mergeCell ref="I141:L141"/>
    <mergeCell ref="I75:L75"/>
    <mergeCell ref="A75:D75"/>
    <mergeCell ref="A36:C36"/>
    <mergeCell ref="I12:L12"/>
    <mergeCell ref="A86:D86"/>
    <mergeCell ref="I143:L143"/>
    <mergeCell ref="I14:L14"/>
    <mergeCell ref="A144:D144"/>
    <mergeCell ref="M128:O128"/>
    <mergeCell ref="J27:L27"/>
    <mergeCell ref="I78:L78"/>
    <mergeCell ref="A81:D81"/>
    <mergeCell ref="E97:H97"/>
    <mergeCell ref="D28:F28"/>
    <mergeCell ref="E96:H96"/>
    <mergeCell ref="E145:H145"/>
    <mergeCell ref="E139:H139"/>
    <mergeCell ref="D30:F30"/>
    <mergeCell ref="C2:L3"/>
    <mergeCell ref="I136:L136"/>
    <mergeCell ref="E98:H98"/>
    <mergeCell ref="A70:D70"/>
    <mergeCell ref="D29:F29"/>
    <mergeCell ref="I129:L129"/>
    <mergeCell ref="A99:D99"/>
    <mergeCell ref="G115:I115"/>
    <mergeCell ref="I131:L131"/>
    <mergeCell ref="A101:D101"/>
    <mergeCell ref="A123:O123"/>
    <mergeCell ref="I83:L83"/>
    <mergeCell ref="G37:I37"/>
    <mergeCell ref="N63:O63"/>
    <mergeCell ref="E91:H91"/>
    <mergeCell ref="N50:O50"/>
    <mergeCell ref="E85:H85"/>
    <mergeCell ref="A125:D125"/>
    <mergeCell ref="M28:O28"/>
    <mergeCell ref="I13:L13"/>
    <mergeCell ref="E93:H93"/>
    <mergeCell ref="I84:L84"/>
    <mergeCell ref="A127:D127"/>
    <mergeCell ref="N2:O2"/>
    <mergeCell ref="M136:O136"/>
    <mergeCell ref="I15:L15"/>
    <mergeCell ref="I86:L86"/>
    <mergeCell ref="I80:L80"/>
    <mergeCell ref="M29:O29"/>
    <mergeCell ref="M134:O134"/>
    <mergeCell ref="G32:I32"/>
    <mergeCell ref="J33:L33"/>
    <mergeCell ref="I144:L144"/>
    <mergeCell ref="D54:F54"/>
    <mergeCell ref="M71:O71"/>
    <mergeCell ref="J114:K114"/>
    <mergeCell ref="G27:I27"/>
    <mergeCell ref="J28:L28"/>
    <mergeCell ref="D31:F31"/>
    <mergeCell ref="J51:K51"/>
    <mergeCell ref="A71:D71"/>
    <mergeCell ref="J30:L30"/>
    <mergeCell ref="N55:O55"/>
    <mergeCell ref="D32:F32"/>
    <mergeCell ref="A100:D100"/>
    <mergeCell ref="I99:L99"/>
    <mergeCell ref="A102:D102"/>
    <mergeCell ref="I74:L74"/>
    <mergeCell ref="A77:D77"/>
    <mergeCell ref="M17:O17"/>
    <mergeCell ref="N58:O58"/>
    <mergeCell ref="E68:H68"/>
    <mergeCell ref="M126:O126"/>
    <mergeCell ref="E130:H130"/>
    <mergeCell ref="A109:O109"/>
    <mergeCell ref="G47:I47"/>
    <mergeCell ref="A112:C112"/>
    <mergeCell ref="D113:F113"/>
    <mergeCell ref="E135:H135"/>
    <mergeCell ref="E141:H141"/>
    <mergeCell ref="E132:H132"/>
    <mergeCell ref="G46:I46"/>
    <mergeCell ref="D50:F50"/>
    <mergeCell ref="E143:H143"/>
    <mergeCell ref="A114:C114"/>
    <mergeCell ref="D115:F115"/>
    <mergeCell ref="C1:L1"/>
    <mergeCell ref="M142:O142"/>
    <mergeCell ref="M129:O129"/>
    <mergeCell ref="M79:O79"/>
    <mergeCell ref="J34:L34"/>
    <mergeCell ref="M73:O73"/>
    <mergeCell ref="M144:O144"/>
    <mergeCell ref="M137:O137"/>
    <mergeCell ref="J36:L36"/>
    <mergeCell ref="A96:D96"/>
    <mergeCell ref="M74:O74"/>
    <mergeCell ref="M139:O139"/>
    <mergeCell ref="G33:I33"/>
    <mergeCell ref="A33:C33"/>
    <mergeCell ref="G114:I114"/>
    <mergeCell ref="J31:L31"/>
    <mergeCell ref="G35:I35"/>
    <mergeCell ref="A35:C35"/>
    <mergeCell ref="A115:C115"/>
    <mergeCell ref="I101:L101"/>
    <mergeCell ref="J54:K54"/>
    <mergeCell ref="L54:M54"/>
    <mergeCell ref="I100:L100"/>
    <mergeCell ref="E138:H138"/>
    <mergeCell ref="G59:I59"/>
    <mergeCell ref="D63:F63"/>
    <mergeCell ref="M92:O92"/>
    <mergeCell ref="J56:K56"/>
    <mergeCell ref="L56:M56"/>
    <mergeCell ref="A18:D18"/>
    <mergeCell ref="E69:H69"/>
    <mergeCell ref="I102:L102"/>
    <mergeCell ref="C4:L6"/>
    <mergeCell ref="G61:I61"/>
    <mergeCell ref="L49:M49"/>
    <mergeCell ref="G48:I48"/>
    <mergeCell ref="N49:O49"/>
    <mergeCell ref="D52:F52"/>
    <mergeCell ref="E77:H77"/>
    <mergeCell ref="E133:H133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2026-09-17T16:46:55Z</dcterms:modified>
  <cp:lastModifiedBy>JAG DESIGN</cp:lastModifiedBy>
  <cp:lastPrinted>2026-07-23T18:36:47Z</cp:lastPrinted>
</cp:coreProperties>
</file>