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P2437-HV-DTS-002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DEL SISTEMA DE FILTRACIÓN MERV 13-14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6" max="66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465" customHeight="1">
      <c r="A9" s="81" t="inlineStr">
        <is>
          <t>Hoja de datos: etapa de filtración (prefiltro MERV 8 + filtro final MERV 13-14)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60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HD-FILT-001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65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FILT-001 (banco de filtración de la impulsión)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Filtración del aire exterior de impulsión (3 840 m³/h) para exclusión de polvo, insectos y objetos extraños, aguas arriba del laboratorio. No es un servicio de biocontención: no se requiere HEPA. Ambiente exterior corrosivo (atmósfera clorada de planta de hipoclorito de calcio, HR media 84 %).</t>
        </is>
      </c>
    </row>
    <row r="20" ht="15" customHeight="1"/>
    <row r="21" ht="15" customHeight="1"/>
    <row r="22" ht="15" customHeight="1"/>
    <row r="23" ht="15" customHeight="1"/>
    <row r="24" ht="15" customHeight="1"/>
    <row r="25" ht="90" customHeight="1">
      <c r="A25" s="85" t="inlineStr">
        <is>
          <t>2. Especificación de eficiencia</t>
        </is>
      </c>
    </row>
    <row r="26" ht="75" customHeight="1">
      <c r="A26" s="87" t="inlineStr">
        <is>
          <t>Tabla 1. Clases de eficiencia exigidas (consulta 2026-07-23).</t>
        </is>
      </c>
    </row>
    <row r="27" ht="75" customHeight="1">
      <c r="A27" s="82" t="inlineStr">
        <is>
          <t>Etapa</t>
        </is>
      </c>
      <c r="B27" s="82" t="n"/>
      <c r="C27" s="82" t="n"/>
      <c r="D27" s="82" t="inlineStr">
        <is>
          <t>ASHRAE 52.2</t>
        </is>
      </c>
      <c r="E27" s="82" t="n"/>
      <c r="F27" s="82" t="n"/>
      <c r="G27" s="82" t="inlineStr">
        <is>
          <t>ISO 16890</t>
        </is>
      </c>
      <c r="H27" s="82" t="n"/>
      <c r="I27" s="82" t="n"/>
      <c r="J27" s="82" t="inlineStr">
        <is>
          <t>EN 779:2012 (referencia)</t>
        </is>
      </c>
      <c r="K27" s="82" t="n"/>
      <c r="L27" s="82" t="n"/>
      <c r="M27" s="82" t="inlineStr">
        <is>
          <t>Eficiencia mínima por rango</t>
        </is>
      </c>
      <c r="N27" s="82" t="n"/>
      <c r="O27" s="82" t="n"/>
    </row>
    <row r="28" ht="135" customHeight="1">
      <c r="A28" s="83" t="inlineStr">
        <is>
          <t>Etapa 1 (prefiltro)</t>
        </is>
      </c>
      <c r="B28" s="84" t="n"/>
      <c r="C28" s="84" t="n"/>
      <c r="D28" s="83" t="inlineStr">
        <is>
          <t>MERV 8</t>
        </is>
      </c>
      <c r="E28" s="84" t="n"/>
      <c r="F28" s="84" t="n"/>
      <c r="G28" s="83" t="inlineStr">
        <is>
          <t>ISO Coarse / ePM10 (dato típico de equivalencia)</t>
        </is>
      </c>
      <c r="H28" s="84" t="n"/>
      <c r="I28" s="84" t="n"/>
      <c r="J28" s="83" t="inlineStr">
        <is>
          <t>G4</t>
        </is>
      </c>
      <c r="K28" s="84" t="n"/>
      <c r="L28" s="84" t="n"/>
      <c r="M28" s="83" t="inlineStr">
        <is>
          <t>Fracción gruesa: polvo, fibras, insectos</t>
        </is>
      </c>
      <c r="N28" s="84" t="n"/>
      <c r="O28" s="84" t="n"/>
    </row>
    <row r="29" ht="150" customHeight="1">
      <c r="A29" s="83" t="inlineStr">
        <is>
          <t>Etapa 2 (filtro final)</t>
        </is>
      </c>
      <c r="B29" s="84" t="n"/>
      <c r="C29" s="84" t="n"/>
      <c r="D29" s="83" t="inlineStr">
        <is>
          <t>MERV 13-14</t>
        </is>
      </c>
      <c r="E29" s="84" t="n"/>
      <c r="F29" s="84" t="n"/>
      <c r="G29" s="83" t="inlineStr">
        <is>
          <t>ePM1 50-70 %</t>
        </is>
      </c>
      <c r="H29" s="84" t="n"/>
      <c r="I29" s="84" t="n"/>
      <c r="J29" s="83" t="inlineStr">
        <is>
          <t>F7-F8</t>
        </is>
      </c>
      <c r="K29" s="84" t="n"/>
      <c r="L29" s="84" t="n"/>
      <c r="M29" s="83" t="inlineStr">
        <is>
          <t>MERV 13: E2 ≥ 90 %, E3 ≥ 90 %; MERV 14 añade E1 ≥ 75 %</t>
        </is>
      </c>
      <c r="N29" s="84" t="n"/>
      <c r="O29" s="84" t="n"/>
    </row>
    <row r="30" ht="15" customHeight="1"/>
    <row r="31" ht="150" customHeight="1">
      <c r="A31" s="88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80" customHeight="1">
      <c r="A38" s="86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9" ht="15" customHeight="1"/>
    <row r="40" ht="15" customHeight="1"/>
    <row r="41" ht="15" customHeight="1"/>
    <row r="42" ht="15" customHeight="1"/>
    <row r="43" ht="90" customHeight="1">
      <c r="A43" s="85" t="inlineStr">
        <is>
          <t>3. Caídas de presión de diseño</t>
        </is>
      </c>
    </row>
    <row r="44" ht="120" customHeight="1">
      <c r="A44" s="87" t="inlineStr">
        <is>
          <t>Tabla 2. ΔP de la etapa final MERV 13-14 (valores congelados de la memoria de cálculo).</t>
        </is>
      </c>
    </row>
    <row r="45" ht="15" customHeight="1"/>
    <row r="46" ht="105" customHeight="1">
      <c r="A46" s="82" t="inlineStr">
        <is>
          <t>Condición</t>
        </is>
      </c>
      <c r="B46" s="82" t="n"/>
      <c r="C46" s="82" t="n"/>
      <c r="D46" s="82" t="n"/>
      <c r="E46" s="82" t="n"/>
      <c r="F46" s="82" t="inlineStr">
        <is>
          <t>Estándar de catálogo (ρ = 1.2 kg/m³)</t>
        </is>
      </c>
      <c r="G46" s="82" t="n"/>
      <c r="H46" s="82" t="n"/>
      <c r="I46" s="82" t="n"/>
      <c r="J46" s="82" t="n"/>
      <c r="K46" s="82" t="inlineStr">
        <is>
          <t>En el sitio (ρ = 0.88 kg/m³, k = 0.733)</t>
        </is>
      </c>
      <c r="L46" s="82" t="n"/>
      <c r="M46" s="82" t="n"/>
      <c r="N46" s="82" t="n"/>
      <c r="O46" s="82" t="n"/>
    </row>
    <row r="47" ht="45" customHeight="1">
      <c r="A47" s="83" t="inlineStr">
        <is>
          <t>Filtro limpio</t>
        </is>
      </c>
      <c r="B47" s="84" t="n"/>
      <c r="C47" s="84" t="n"/>
      <c r="D47" s="84" t="n"/>
      <c r="E47" s="84" t="n"/>
      <c r="F47" s="83" t="inlineStr">
        <is>
          <t>80 Pa</t>
        </is>
      </c>
      <c r="G47" s="84" t="n"/>
      <c r="H47" s="84" t="n"/>
      <c r="I47" s="84" t="n"/>
      <c r="J47" s="84" t="n"/>
      <c r="K47" s="83" t="inlineStr">
        <is>
          <t>59 Pa</t>
        </is>
      </c>
      <c r="L47" s="84" t="n"/>
      <c r="M47" s="84" t="n"/>
      <c r="N47" s="84" t="n"/>
      <c r="O47" s="84" t="n"/>
    </row>
    <row r="48" ht="90" customHeight="1">
      <c r="A48" s="83" t="inlineStr">
        <is>
          <t>Filtro cargado (final de diseño)</t>
        </is>
      </c>
      <c r="B48" s="84" t="n"/>
      <c r="C48" s="84" t="n"/>
      <c r="D48" s="84" t="n"/>
      <c r="E48" s="84" t="n"/>
      <c r="F48" s="83" t="inlineStr">
        <is>
          <t>210 Pa</t>
        </is>
      </c>
      <c r="G48" s="84" t="n"/>
      <c r="H48" s="84" t="n"/>
      <c r="I48" s="84" t="n"/>
      <c r="J48" s="84" t="n"/>
      <c r="K48" s="83" t="inlineStr">
        <is>
          <t>154 Pa</t>
        </is>
      </c>
      <c r="L48" s="84" t="n"/>
      <c r="M48" s="84" t="n"/>
      <c r="N48" s="84" t="n"/>
      <c r="O48" s="84" t="n"/>
    </row>
    <row r="49" ht="15" customHeight="1"/>
    <row r="50" ht="165" customHeight="1">
      <c r="A50" s="86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0" customHeight="1">
      <c r="A58" s="86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90" customHeight="1">
      <c r="A66" s="85" t="inlineStr">
        <is>
          <t>4. Dimensiones y construcción</t>
        </is>
      </c>
    </row>
    <row r="67" ht="45" customHeight="1">
      <c r="A67" s="87" t="inlineStr">
        <is>
          <t>Tabla 3. Requisitos de construcción.</t>
        </is>
      </c>
    </row>
    <row r="68" ht="45" customHeight="1">
      <c r="A68" s="82" t="inlineStr">
        <is>
          <t>Característica</t>
        </is>
      </c>
      <c r="B68" s="82" t="n"/>
      <c r="C68" s="82" t="n"/>
      <c r="D68" s="82" t="n"/>
      <c r="E68" s="82" t="n"/>
      <c r="F68" s="82" t="n"/>
      <c r="G68" s="82" t="n"/>
      <c r="H68" s="82" t="n"/>
      <c r="I68" s="82" t="inlineStr">
        <is>
          <t>Especificación</t>
        </is>
      </c>
      <c r="J68" s="82" t="n"/>
      <c r="K68" s="82" t="n"/>
      <c r="L68" s="82" t="n"/>
      <c r="M68" s="82" t="n"/>
      <c r="N68" s="82" t="n"/>
      <c r="O68" s="82" t="n"/>
    </row>
    <row r="69" ht="240" customHeight="1">
      <c r="A69" s="83" t="inlineStr">
        <is>
          <t>Dimensiones</t>
        </is>
      </c>
      <c r="B69" s="84" t="n"/>
      <c r="C69" s="84" t="n"/>
      <c r="D69" s="84" t="n"/>
      <c r="E69" s="84" t="n"/>
      <c r="F69" s="84" t="n"/>
      <c r="G69" s="84" t="n"/>
      <c r="H69" s="84" t="n"/>
      <c r="I69" s="83" t="inlineStr">
        <is>
          <t>Módulo pleno 24×24 in (610×610 mm); profundidad según línea V-bank (292 mm dato típico)</t>
        </is>
      </c>
      <c r="J69" s="84" t="n"/>
      <c r="K69" s="84" t="n"/>
      <c r="L69" s="84" t="n"/>
      <c r="M69" s="84" t="n"/>
      <c r="N69" s="84" t="n"/>
      <c r="O69" s="84" t="n"/>
    </row>
    <row r="70" ht="105" customHeight="1">
      <c r="A70" s="83" t="inlineStr">
        <is>
          <t>Tipo etapa final</t>
        </is>
      </c>
      <c r="B70" s="84" t="n"/>
      <c r="C70" s="84" t="n"/>
      <c r="D70" s="84" t="n"/>
      <c r="E70" s="84" t="n"/>
      <c r="F70" s="84" t="n"/>
      <c r="G70" s="84" t="n"/>
      <c r="H70" s="84" t="n"/>
      <c r="I70" s="83" t="inlineStr">
        <is>
          <t>V-bank / casete compacto de minipleat</t>
        </is>
      </c>
      <c r="J70" s="84" t="n"/>
      <c r="K70" s="84" t="n"/>
      <c r="L70" s="84" t="n"/>
      <c r="M70" s="84" t="n"/>
      <c r="N70" s="84" t="n"/>
      <c r="O70" s="84" t="n"/>
    </row>
    <row r="71" ht="270" customHeight="1">
      <c r="A71" s="83" t="inlineStr">
        <is>
          <t>Marco del filtro</t>
        </is>
      </c>
      <c r="B71" s="84" t="n"/>
      <c r="C71" s="84" t="n"/>
      <c r="D71" s="84" t="n"/>
      <c r="E71" s="84" t="n"/>
      <c r="F71" s="84" t="n"/>
      <c r="G71" s="84" t="n"/>
      <c r="H71" s="84" t="n"/>
      <c r="I71" s="83" t="inlineStr">
        <is>
          <t>100 % plástico (ABS/poliestireno/HIPS), sin componentes metálicos; paquete sellado con poliuretano</t>
        </is>
      </c>
      <c r="J71" s="84" t="n"/>
      <c r="K71" s="84" t="n"/>
      <c r="L71" s="84" t="n"/>
      <c r="M71" s="84" t="n"/>
      <c r="N71" s="84" t="n"/>
      <c r="O71" s="84" t="n"/>
    </row>
    <row r="72" ht="105" customHeight="1">
      <c r="A72" s="83" t="inlineStr">
        <is>
          <t>Junta</t>
        </is>
      </c>
      <c r="B72" s="84" t="n"/>
      <c r="C72" s="84" t="n"/>
      <c r="D72" s="84" t="n"/>
      <c r="E72" s="84" t="n"/>
      <c r="F72" s="84" t="n"/>
      <c r="G72" s="84" t="n"/>
      <c r="H72" s="84" t="n"/>
      <c r="I72" s="83" t="inlineStr">
        <is>
          <t>Poliuretano o EPDM continua, en cabezal</t>
        </is>
      </c>
      <c r="J72" s="84" t="n"/>
      <c r="K72" s="84" t="n"/>
      <c r="L72" s="84" t="n"/>
      <c r="M72" s="84" t="n"/>
      <c r="N72" s="84" t="n"/>
      <c r="O72" s="84" t="n"/>
    </row>
    <row r="73" ht="255" customHeight="1">
      <c r="A73" s="83" t="inlineStr">
        <is>
          <t>Portafiltros (holding frames)</t>
        </is>
      </c>
      <c r="B73" s="84" t="n"/>
      <c r="C73" s="84" t="n"/>
      <c r="D73" s="84" t="n"/>
      <c r="E73" s="84" t="n"/>
      <c r="F73" s="84" t="n"/>
      <c r="G73" s="84" t="n"/>
      <c r="H73" s="84" t="n"/>
      <c r="I73" s="83" t="inlineStr">
        <is>
          <t>Inox 304/316 con junta continua de poliuretano; galvanizado descartado por el ambiente clorado</t>
        </is>
      </c>
      <c r="J73" s="84" t="n"/>
      <c r="K73" s="84" t="n"/>
      <c r="L73" s="84" t="n"/>
      <c r="M73" s="84" t="n"/>
      <c r="N73" s="84" t="n"/>
      <c r="O73" s="84" t="n"/>
    </row>
    <row r="74" ht="255" customHeight="1">
      <c r="A74" s="83" t="inlineStr">
        <is>
          <t>Fijación prefiltro</t>
        </is>
      </c>
      <c r="B74" s="84" t="n"/>
      <c r="C74" s="84" t="n"/>
      <c r="D74" s="84" t="n"/>
      <c r="E74" s="84" t="n"/>
      <c r="F74" s="84" t="n"/>
      <c r="G74" s="84" t="n"/>
      <c r="H74" s="84" t="n"/>
      <c r="I74" s="83" t="inlineStr">
        <is>
          <t>Espaciador/clip frontal integrado al filtro final (configuración estándar de los candidatos)</t>
        </is>
      </c>
      <c r="J74" s="84" t="n"/>
      <c r="K74" s="84" t="n"/>
      <c r="L74" s="84" t="n"/>
      <c r="M74" s="84" t="n"/>
      <c r="N74" s="84" t="n"/>
      <c r="O74" s="84" t="n"/>
    </row>
    <row r="75" ht="315" customHeight="1">
      <c r="A75" s="83" t="inlineStr">
        <is>
          <t>Marco del prefiltro</t>
        </is>
      </c>
      <c r="B75" s="84" t="n"/>
      <c r="C75" s="84" t="n"/>
      <c r="D75" s="84" t="n"/>
      <c r="E75" s="84" t="n"/>
      <c r="F75" s="84" t="n"/>
      <c r="G75" s="84" t="n"/>
      <c r="H75" s="84" t="n"/>
      <c r="I75" s="83" t="inlineStr">
        <is>
          <t>Cartón hidrófugo; la rejilla soporte galvanizada se acepta con inspección de corrosión programada en el primer año</t>
        </is>
      </c>
      <c r="J75" s="84" t="n"/>
      <c r="K75" s="84" t="n"/>
      <c r="L75" s="84" t="n"/>
      <c r="M75" s="84" t="n"/>
      <c r="N75" s="84" t="n"/>
      <c r="O75" s="84" t="n"/>
    </row>
    <row r="76" ht="15" customHeight="1"/>
    <row r="77" ht="15" customHeight="1"/>
    <row r="78" ht="75" customHeight="1">
      <c r="A78" s="85" t="inlineStr">
        <is>
          <t>5. Candidatos comerciales</t>
        </is>
      </c>
    </row>
    <row r="79" ht="105" customHeight="1">
      <c r="A79" s="87" t="inlineStr">
        <is>
          <t>Tabla 4. Filtros finales candidatos (500 fpm = 2.54 m/s; consulta 2026-07-23).</t>
        </is>
      </c>
    </row>
    <row r="80" ht="15" customHeight="1"/>
    <row r="81" ht="60" customHeight="1">
      <c r="A81" s="82" t="inlineStr">
        <is>
          <t>Fabricante / modelo</t>
        </is>
      </c>
      <c r="B81" s="82" t="n"/>
      <c r="C81" s="82" t="n"/>
      <c r="D81" s="82" t="inlineStr">
        <is>
          <t>Clase</t>
        </is>
      </c>
      <c r="E81" s="82" t="n"/>
      <c r="F81" s="82" t="n"/>
      <c r="G81" s="82" t="inlineStr">
        <is>
          <t>Marco</t>
        </is>
      </c>
      <c r="H81" s="82" t="n"/>
      <c r="I81" s="82" t="n"/>
      <c r="J81" s="82" t="inlineStr">
        <is>
          <t>ΔP inicial catálogo</t>
        </is>
      </c>
      <c r="K81" s="82" t="n"/>
      <c r="L81" s="82" t="inlineStr">
        <is>
          <t>ΔP final máx.</t>
        </is>
      </c>
      <c r="M81" s="82" t="n"/>
      <c r="N81" s="82" t="inlineStr">
        <is>
          <t>Fuente</t>
        </is>
      </c>
      <c r="O81" s="82" t="n"/>
    </row>
    <row r="82" ht="210" customHeight="1">
      <c r="A82" s="83" t="inlineStr">
        <is>
          <t>Camfil Durafil ES2 (referencia de diseño)</t>
        </is>
      </c>
      <c r="B82" s="84" t="n"/>
      <c r="C82" s="84" t="n"/>
      <c r="D82" s="83" t="inlineStr">
        <is>
          <t>MERV 14 / ePM1 70</t>
        </is>
      </c>
      <c r="E82" s="84" t="n"/>
      <c r="F82" s="84" t="n"/>
      <c r="G82" s="83" t="inlineStr">
        <is>
          <t>Plástico ABS/poliestireno</t>
        </is>
      </c>
      <c r="H82" s="84" t="n"/>
      <c r="I82" s="84" t="n"/>
      <c r="J82" s="83" t="inlineStr">
        <is>
          <t>≤ 0.32 in c.a. ≈ 80 Pa</t>
        </is>
      </c>
      <c r="K82" s="84" t="n"/>
      <c r="L82" s="83" t="inlineStr">
        <is>
          <t>375 Pa</t>
        </is>
      </c>
      <c r="M82" s="84" t="n"/>
      <c r="N82" s="83" t="inlineStr">
        <is>
          <t>Ficha (PDF) (https://cdn.lsicloud.net/pandhwhsal/documents/855080-003.pdf)</t>
        </is>
      </c>
      <c r="O82" s="84" t="n"/>
    </row>
    <row r="83" ht="465" customHeight="1">
      <c r="A83" s="83" t="inlineStr">
        <is>
          <t>AAF VariCel VXL</t>
        </is>
      </c>
      <c r="B83" s="84" t="n"/>
      <c r="C83" s="84" t="n"/>
      <c r="D83" s="83" t="inlineStr">
        <is>
          <t>MERV 14</t>
        </is>
      </c>
      <c r="E83" s="84" t="n"/>
      <c r="F83" s="84" t="n"/>
      <c r="G83" s="83" t="inlineStr">
        <is>
          <t>Plástico HIPS + ABS, sin metal</t>
        </is>
      </c>
      <c r="H83" s="84" t="n"/>
      <c r="I83" s="84" t="n"/>
      <c r="J83" s="83" t="inlineStr">
        <is>
          <t>≈ 100-112 Pa (dato típico, de curva)</t>
        </is>
      </c>
      <c r="K83" s="84" t="n"/>
      <c r="L83" s="83" t="inlineStr">
        <is>
          <t>500 Pa</t>
        </is>
      </c>
      <c r="M83" s="84" t="n"/>
      <c r="N83" s="83" t="inlineStr">
        <is>
          <t>AAF AFP-1-162 (PDF) (https://aafterms.aafintl.com/-/media/files/aaf/commercial-and-industrial/us-products/box-filters/varicel-vxl/varicel-vxl_prod_mark_sht_afp-1-162.pdf)</t>
        </is>
      </c>
      <c r="O83" s="84" t="n"/>
    </row>
    <row r="84" ht="255" customHeight="1">
      <c r="A84" s="83" t="inlineStr">
        <is>
          <t>Freudenberg Viledon MaxiPleat MX 85</t>
        </is>
      </c>
      <c r="B84" s="84" t="n"/>
      <c r="C84" s="84" t="n"/>
      <c r="D84" s="83" t="inlineStr">
        <is>
          <t>F8 / ePM1 65 % (≈ MERV 14)</t>
        </is>
      </c>
      <c r="E84" s="84" t="n"/>
      <c r="F84" s="84" t="n"/>
      <c r="G84" s="83" t="inlineStr">
        <is>
          <t>Plástico, paquete fundido estanco</t>
        </is>
      </c>
      <c r="H84" s="84" t="n"/>
      <c r="I84" s="84" t="n"/>
      <c r="J84" s="83" t="inlineStr">
        <is>
          <t>135-180 Pa (familia)</t>
        </is>
      </c>
      <c r="K84" s="84" t="n"/>
      <c r="L84" s="83" t="inlineStr">
        <is>
          <t>≈ 450 Pa (dato típico)</t>
        </is>
      </c>
      <c r="M84" s="84" t="n"/>
      <c r="N84" s="83" t="inlineStr">
        <is>
          <t>Ficha (PDF) (https://menardifilters.se/wp-content/uploads/MaxiPleat_DS_02-CC-038-EN_low.pdf)</t>
        </is>
      </c>
      <c r="O84" s="84" t="n"/>
    </row>
    <row r="85" ht="270" customHeight="1">
      <c r="A85" s="83" t="inlineStr">
        <is>
          <t>Koch Multi-Pleat Green13</t>
        </is>
      </c>
      <c r="B85" s="84" t="n"/>
      <c r="C85" s="84" t="n"/>
      <c r="D85" s="83" t="inlineStr">
        <is>
          <t>MERV 13</t>
        </is>
      </c>
      <c r="E85" s="84" t="n"/>
      <c r="F85" s="84" t="n"/>
      <c r="G85" s="83" t="inlineStr">
        <is>
          <t>Cartón + rejilla galvanizada</t>
        </is>
      </c>
      <c r="H85" s="84" t="n"/>
      <c r="I85" s="84" t="n"/>
      <c r="J85" s="83" t="inlineStr">
        <is>
          <t>≈ 75-100 Pa (dato típico plisados MERV 13)</t>
        </is>
      </c>
      <c r="K85" s="84" t="n"/>
      <c r="L85" s="83" t="inlineStr">
        <is>
          <t>≈ 250 Pa (dato típico)</t>
        </is>
      </c>
      <c r="M85" s="84" t="n"/>
      <c r="N85" s="83" t="inlineStr">
        <is>
          <t>Ficha (PDF) (https://www.airfilterplus.com/wp-content/uploads/2022/03/Multi-Pleat-Green-13-2021.pdf)</t>
        </is>
      </c>
      <c r="O85" s="84" t="n"/>
    </row>
    <row r="86" ht="15" customHeight="1"/>
    <row r="87" ht="105" customHeight="1">
      <c r="A87" s="87" t="inlineStr">
        <is>
          <t>Tabla 5. Prefiltros candidatos y portafiltros (consulta 2026-07-23).</t>
        </is>
      </c>
    </row>
    <row r="88" ht="15" customHeight="1"/>
    <row r="89" ht="30" customHeight="1">
      <c r="A89" s="82" t="inlineStr">
        <is>
          <t>Ítem</t>
        </is>
      </c>
      <c r="B89" s="82" t="n"/>
      <c r="C89" s="82" t="n"/>
      <c r="D89" s="82" t="n"/>
      <c r="E89" s="82" t="inlineStr">
        <is>
          <t>Candidato</t>
        </is>
      </c>
      <c r="F89" s="82" t="n"/>
      <c r="G89" s="82" t="n"/>
      <c r="H89" s="82" t="n"/>
      <c r="I89" s="82" t="inlineStr">
        <is>
          <t>Dato clave</t>
        </is>
      </c>
      <c r="J89" s="82" t="n"/>
      <c r="K89" s="82" t="n"/>
      <c r="L89" s="82" t="n"/>
      <c r="M89" s="82" t="inlineStr">
        <is>
          <t>Fuente</t>
        </is>
      </c>
      <c r="N89" s="82" t="n"/>
      <c r="O89" s="82" t="n"/>
    </row>
    <row r="90" ht="210" customHeight="1">
      <c r="A90" s="83" t="inlineStr">
        <is>
          <t>Prefiltro MERV 8</t>
        </is>
      </c>
      <c r="B90" s="84" t="n"/>
      <c r="C90" s="84" t="n"/>
      <c r="D90" s="84" t="n"/>
      <c r="E90" s="83" t="inlineStr">
        <is>
          <t>Camfil 30/30 / Dual 9</t>
        </is>
      </c>
      <c r="F90" s="84" t="n"/>
      <c r="G90" s="84" t="n"/>
      <c r="H90" s="84" t="n"/>
      <c r="I90" s="83" t="inlineStr">
        <is>
          <t>ΔP inicial ≤ 67-75 Pa @ 500 fpm</t>
        </is>
      </c>
      <c r="J90" s="84" t="n"/>
      <c r="K90" s="84" t="n"/>
      <c r="L90" s="84" t="n"/>
      <c r="M90" s="83" t="inlineStr">
        <is>
          <t>Ficha (PDF) (https://cdn.lsicloud.net/pandhwhsal/documents/406331002-SPS.pdf)</t>
        </is>
      </c>
      <c r="N90" s="84" t="n"/>
      <c r="O90" s="84" t="n"/>
    </row>
    <row r="91" ht="225" customHeight="1">
      <c r="A91" s="83" t="inlineStr">
        <is>
          <t>Prefiltro MERV 8</t>
        </is>
      </c>
      <c r="B91" s="84" t="n"/>
      <c r="C91" s="84" t="n"/>
      <c r="D91" s="84" t="n"/>
      <c r="E91" s="83" t="inlineStr">
        <is>
          <t>Koch Multi-Pleat XL8</t>
        </is>
      </c>
      <c r="F91" s="84" t="n"/>
      <c r="G91" s="84" t="n"/>
      <c r="H91" s="84" t="n"/>
      <c r="I91" s="83" t="inlineStr">
        <is>
          <t>ΔP inicial ~50-62 Pa (dato típico, de curva)</t>
        </is>
      </c>
      <c r="J91" s="84" t="n"/>
      <c r="K91" s="84" t="n"/>
      <c r="L91" s="84" t="n"/>
      <c r="M91" s="83" t="inlineStr">
        <is>
          <t>Ficha (PDF) (https://fsifiltration.com/wp-content/uploads/2020/08/Pleated-MERV8.pdf)</t>
        </is>
      </c>
      <c r="N91" s="84" t="n"/>
      <c r="O91" s="84" t="n"/>
    </row>
    <row r="92" ht="405" customHeight="1">
      <c r="A92" s="83" t="inlineStr">
        <is>
          <t>Portafiltros</t>
        </is>
      </c>
      <c r="B92" s="84" t="n"/>
      <c r="C92" s="84" t="n"/>
      <c r="D92" s="84" t="n"/>
      <c r="E92" s="83" t="inlineStr">
        <is>
          <t>Camfil MagnaFrame II</t>
        </is>
      </c>
      <c r="F92" s="84" t="n"/>
      <c r="G92" s="84" t="n"/>
      <c r="H92" s="84" t="n"/>
      <c r="I92" s="83" t="inlineStr">
        <is>
          <t>Galvanizado 14 ga, opción inox 304; junta PU</t>
        </is>
      </c>
      <c r="J92" s="84" t="n"/>
      <c r="K92" s="84" t="n"/>
      <c r="L92" s="84" t="n"/>
      <c r="M92" s="83" t="inlineStr">
        <is>
          <t>Camfil (https://www.camfil.com/en-ca/products/housings-frames--louvers/filter-holding-frames/filter-holding-frames/magnaframe-ii-gasket-seal-_-47771)</t>
        </is>
      </c>
      <c r="N92" s="84" t="n"/>
      <c r="O92" s="84" t="n"/>
    </row>
    <row r="93" ht="420" customHeight="1">
      <c r="A93" s="83" t="inlineStr">
        <is>
          <t>Portafiltros</t>
        </is>
      </c>
      <c r="B93" s="84" t="n"/>
      <c r="C93" s="84" t="n"/>
      <c r="D93" s="84" t="n"/>
      <c r="E93" s="83" t="inlineStr">
        <is>
          <t>Camfil Universal Holding Frame</t>
        </is>
      </c>
      <c r="F93" s="84" t="n"/>
      <c r="G93" s="84" t="n"/>
      <c r="H93" s="84" t="n"/>
      <c r="I93" s="83" t="inlineStr">
        <is>
          <t>Disponible inox o galvanizado; junta PU continua opcional</t>
        </is>
      </c>
      <c r="J93" s="84" t="n"/>
      <c r="K93" s="84" t="n"/>
      <c r="L93" s="84" t="n"/>
      <c r="M93" s="83" t="inlineStr">
        <is>
          <t>Camfil (https://www.camfil.com/en-sg/products/housings-frames--louvers/filter-holding-frames/filter-holding-frames/universal-filter-holding-frame-_-46512)</t>
        </is>
      </c>
      <c r="N93" s="84" t="n"/>
      <c r="O93" s="84" t="n"/>
    </row>
    <row r="94" ht="15" customHeight="1"/>
    <row r="95" ht="15" customHeight="1"/>
    <row r="96" ht="105" customHeight="1">
      <c r="A96" s="85" t="inlineStr">
        <is>
          <t>6. Suministro y repuestos (Colombia)</t>
        </is>
      </c>
    </row>
    <row r="97" ht="165" customHeight="1">
      <c r="A97" s="86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80" customHeight="1">
      <c r="A105" s="86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106" ht="15" customHeight="1"/>
    <row r="107" ht="15" customHeight="1"/>
    <row r="108" ht="15" customHeight="1"/>
    <row r="109" ht="15" customHeight="1"/>
    <row r="110" ht="60" customHeight="1">
      <c r="A110" s="85" t="inlineStr">
        <is>
          <t>7. Normas aplicables</t>
        </is>
      </c>
    </row>
    <row r="111" ht="165" customHeight="1">
      <c r="A111" s="86" t="inlineStr">
        <is>
          <t>7.1. ANSI/ASHRAE 52.2-2017 (ensayo y clasificación MERV); ISO 16890 (ePM1, exigible como informe alternativo); EN 779:2012 (referencia heredada F7/F8). El estado de carga del filtro se sigue por programa de mantenimiento basado en la ΔP esperada (59 Pa limpio / 154 Pa cargado en el sitio) y en la carga de polvo observada en operación (dato típico de operación).</t>
        </is>
      </c>
    </row>
    <row r="112" ht="15" customHeight="1"/>
    <row r="113" ht="15" customHeight="1"/>
    <row r="114" ht="15" customHeight="1"/>
    <row r="115" ht="15" customHeight="1"/>
    <row r="116" ht="15" customHeight="1"/>
  </sheetData>
  <mergeCells count="132">
    <mergeCell ref="A25:O25"/>
    <mergeCell ref="J82:K82"/>
    <mergeCell ref="A48:E48"/>
    <mergeCell ref="L82:M82"/>
    <mergeCell ref="A31:O37"/>
    <mergeCell ref="N85:O85"/>
    <mergeCell ref="J27:L27"/>
    <mergeCell ref="A66:O66"/>
    <mergeCell ref="D28:F28"/>
    <mergeCell ref="N3:O3"/>
    <mergeCell ref="A69:H69"/>
    <mergeCell ref="I69:O69"/>
    <mergeCell ref="A46:E46"/>
    <mergeCell ref="I90:L90"/>
    <mergeCell ref="A79:O80"/>
    <mergeCell ref="A75:H75"/>
    <mergeCell ref="N5:O5"/>
    <mergeCell ref="C2:L3"/>
    <mergeCell ref="D29:F29"/>
    <mergeCell ref="A96:O96"/>
    <mergeCell ref="F47:J47"/>
    <mergeCell ref="I70:O70"/>
    <mergeCell ref="A87:O88"/>
    <mergeCell ref="F46:J46"/>
    <mergeCell ref="A83:C83"/>
    <mergeCell ref="I72:O72"/>
    <mergeCell ref="J29:L29"/>
    <mergeCell ref="L81:M81"/>
    <mergeCell ref="F48:J48"/>
    <mergeCell ref="A13:H13"/>
    <mergeCell ref="B1:B5"/>
    <mergeCell ref="A50:O57"/>
    <mergeCell ref="D27:F27"/>
    <mergeCell ref="A15:H15"/>
    <mergeCell ref="G28:I28"/>
    <mergeCell ref="A73:H73"/>
    <mergeCell ref="E91:H91"/>
    <mergeCell ref="I10:O10"/>
    <mergeCell ref="A18:O18"/>
    <mergeCell ref="A97:O104"/>
    <mergeCell ref="A38:O41"/>
    <mergeCell ref="M28:O28"/>
    <mergeCell ref="E93:H93"/>
    <mergeCell ref="M89:O89"/>
    <mergeCell ref="I74:O74"/>
    <mergeCell ref="N2:O2"/>
    <mergeCell ref="K47:O47"/>
    <mergeCell ref="J83:K83"/>
    <mergeCell ref="A29:C29"/>
    <mergeCell ref="D83:F83"/>
    <mergeCell ref="L83:M83"/>
    <mergeCell ref="K46:O46"/>
    <mergeCell ref="A81:C81"/>
    <mergeCell ref="I89:L89"/>
    <mergeCell ref="I11:O11"/>
    <mergeCell ref="M29:O29"/>
    <mergeCell ref="J85:K85"/>
    <mergeCell ref="D85:F85"/>
    <mergeCell ref="L85:M85"/>
    <mergeCell ref="G81:I81"/>
    <mergeCell ref="L84:M84"/>
    <mergeCell ref="A90:D90"/>
    <mergeCell ref="N84:O84"/>
    <mergeCell ref="A82:C82"/>
    <mergeCell ref="G27:I27"/>
    <mergeCell ref="A19:O23"/>
    <mergeCell ref="J28:L28"/>
    <mergeCell ref="N6:O6"/>
    <mergeCell ref="A72:H72"/>
    <mergeCell ref="E90:H90"/>
    <mergeCell ref="G82:I82"/>
    <mergeCell ref="N4:O4"/>
    <mergeCell ref="A91:D91"/>
    <mergeCell ref="J81:K81"/>
    <mergeCell ref="A84:C84"/>
    <mergeCell ref="I73:O73"/>
    <mergeCell ref="G83:I83"/>
    <mergeCell ref="A93:D93"/>
    <mergeCell ref="A70:H70"/>
    <mergeCell ref="A92:D92"/>
    <mergeCell ref="G29:I29"/>
    <mergeCell ref="A74:H74"/>
    <mergeCell ref="A28:C28"/>
    <mergeCell ref="D82:F82"/>
    <mergeCell ref="E92:H92"/>
    <mergeCell ref="N82:O82"/>
    <mergeCell ref="G84:I84"/>
    <mergeCell ref="A71:H71"/>
    <mergeCell ref="A47:E47"/>
    <mergeCell ref="A1:A5"/>
    <mergeCell ref="A9:O9"/>
    <mergeCell ref="C1:L1"/>
    <mergeCell ref="K48:O48"/>
    <mergeCell ref="I75:O75"/>
    <mergeCell ref="A89:D89"/>
    <mergeCell ref="D84:F84"/>
    <mergeCell ref="A10:H10"/>
    <mergeCell ref="I12:O12"/>
    <mergeCell ref="A68:H68"/>
    <mergeCell ref="I68:O68"/>
    <mergeCell ref="A58:O64"/>
    <mergeCell ref="E89:H89"/>
    <mergeCell ref="A78:O78"/>
    <mergeCell ref="I14:O14"/>
    <mergeCell ref="M90:O90"/>
    <mergeCell ref="A27:C27"/>
    <mergeCell ref="A44:O45"/>
    <mergeCell ref="A11:H11"/>
    <mergeCell ref="J84:K84"/>
    <mergeCell ref="I13:O13"/>
    <mergeCell ref="M27:O27"/>
    <mergeCell ref="N81:O81"/>
    <mergeCell ref="A85:C85"/>
    <mergeCell ref="I15:O15"/>
    <mergeCell ref="M91:O91"/>
    <mergeCell ref="N1:O1"/>
    <mergeCell ref="A12:H12"/>
    <mergeCell ref="G85:I85"/>
    <mergeCell ref="A43:O43"/>
    <mergeCell ref="A111:O116"/>
    <mergeCell ref="M93:O93"/>
    <mergeCell ref="I91:L91"/>
    <mergeCell ref="A14:H14"/>
    <mergeCell ref="M92:O92"/>
    <mergeCell ref="A105:O108"/>
    <mergeCell ref="D81:F81"/>
    <mergeCell ref="I93:L93"/>
    <mergeCell ref="I71:O71"/>
    <mergeCell ref="C4:L6"/>
    <mergeCell ref="A110:O110"/>
    <mergeCell ref="I92:L92"/>
    <mergeCell ref="N83:O8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2026-07-27T18:44:44Z</dcterms:modified>
  <cp:lastModifiedBy>JAG DESIGN</cp:lastModifiedBy>
  <cp:lastPrinted>2026-07-23T18:36:47Z</cp:lastPrinted>
</cp:coreProperties>
</file>