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30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375623"/>
      <sz val="28"/>
    </font>
    <font>
      <name val="Times New Roman"/>
      <sz val="28"/>
    </font>
    <font>
      <name val="Times New Roman"/>
      <i val="1"/>
      <color rgb="00404040"/>
      <sz val="28"/>
    </font>
    <font>
      <name val="Times New Roman"/>
      <b val="1"/>
      <sz val="28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C6E0B4"/>
        <bgColor rgb="00C6E0B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7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6" fillId="0" borderId="1" applyAlignment="1" pivotButton="0" quotePrefix="0" xfId="1">
      <alignment horizontal="center"/>
    </xf>
    <xf numFmtId="0" fontId="23" fillId="0" borderId="2" pivotButton="0" quotePrefix="0" xfId="0"/>
    <xf numFmtId="0" fontId="23" fillId="0" borderId="4" pivotButton="0" quotePrefix="0" xfId="0"/>
    <xf numFmtId="0" fontId="26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3" fillId="0" borderId="3" pivotButton="0" quotePrefix="0" xfId="0"/>
    <xf numFmtId="0" fontId="23" fillId="0" borderId="0" pivotButton="0" quotePrefix="0" xfId="0"/>
    <xf numFmtId="0" fontId="23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23" fillId="0" borderId="7" pivotButton="0" quotePrefix="0" xfId="0"/>
    <xf numFmtId="0" fontId="23" fillId="0" borderId="8" pivotButton="0" quotePrefix="0" xfId="0"/>
    <xf numFmtId="0" fontId="27" fillId="0" borderId="1" applyAlignment="1" pivotButton="0" quotePrefix="0" xfId="1">
      <alignment horizontal="center" vertical="center"/>
    </xf>
    <xf numFmtId="0" fontId="23" fillId="0" borderId="9" pivotButton="0" quotePrefix="0" xfId="0"/>
    <xf numFmtId="0" fontId="23" fillId="0" borderId="10" pivotButton="0" quotePrefix="0" xfId="0"/>
    <xf numFmtId="0" fontId="28" fillId="0" borderId="0" applyAlignment="1" pivotButton="0" quotePrefix="0" xfId="1">
      <alignment horizontal="center"/>
    </xf>
    <xf numFmtId="0" fontId="0" fillId="0" borderId="3" pivotButton="0" quotePrefix="0" xfId="0"/>
    <xf numFmtId="0" fontId="29" fillId="4" borderId="1" applyAlignment="1" pivotButton="0" quotePrefix="0" xfId="1">
      <alignment horizontal="center" vertical="center" wrapText="1"/>
    </xf>
    <xf numFmtId="0" fontId="23" fillId="0" borderId="1" applyAlignment="1" pivotButton="0" quotePrefix="0" xfId="1">
      <alignment horizontal="center" vertical="center" wrapText="1"/>
    </xf>
    <xf numFmtId="0" fontId="28" fillId="0" borderId="1" applyAlignment="1" pivotButton="0" quotePrefix="0" xfId="1">
      <alignment horizontal="center" vertical="center" wrapText="1"/>
    </xf>
    <xf numFmtId="0" fontId="28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horizontal="left" vertical="center" wrapText="1" indent="4"/>
    </xf>
    <xf numFmtId="0" fontId="23" fillId="0" borderId="11" pivotButton="0" quotePrefix="0" xfId="0"/>
    <xf numFmtId="0" fontId="23" fillId="0" borderId="12" pivotButton="0" quotePrefix="0" xfId="0"/>
    <xf numFmtId="0" fontId="25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0" fontId="17" fillId="5" borderId="13" applyAlignment="1" pivotButton="0" quotePrefix="0" xfId="0">
      <alignment horizontal="center" vertical="center" wrapText="1"/>
    </xf>
    <xf numFmtId="0" fontId="18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19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P2437-HV-DTS-003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HOJA DE DATOS Y ESPECIFICACIONES TÉCNICAS DE LAS REJILLAS DE EXFILTRACIÓN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67"/>
  <sheetViews>
    <sheetView workbookViewId="0">
      <selection activeCell="A1" sqref="A1"/>
    </sheetView>
  </sheetViews>
  <sheetFormatPr baseColWidth="8" defaultRowHeight="15"/>
  <cols>
    <col width="49" customWidth="1" min="1" max="1"/>
    <col width="19" customWidth="1" min="2" max="2"/>
    <col width="19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3" customWidth="1" min="10" max="10"/>
    <col width="13" customWidth="1" min="11" max="11"/>
    <col width="13" customWidth="1" min="12" max="12"/>
    <col width="16" customWidth="1" min="13" max="13"/>
    <col width="16" customWidth="1" min="14" max="14"/>
    <col width="16" customWidth="1" min="15" max="15"/>
    <col width="13" customWidth="1" min="17" max="17"/>
    <col width="13" customWidth="1" min="18" max="18"/>
    <col width="13" customWidth="1" min="19" max="19"/>
    <col width="13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2" max="32"/>
    <col width="13" customWidth="1" min="33" max="33"/>
    <col width="13" customWidth="1" min="35" max="35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50" max="50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9" max="59"/>
    <col width="13" customWidth="1" min="60" max="60"/>
    <col width="13" customWidth="1" min="61" max="61"/>
    <col width="13" customWidth="1" min="65" max="65"/>
    <col width="13" customWidth="1" min="66" max="66"/>
    <col width="13" customWidth="1" min="67" max="67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228" customHeight="1">
      <c r="A9" s="81" t="inlineStr">
        <is>
          <t>Hoja de datos: rejillas de descarga con malla anti-insectos</t>
        </is>
      </c>
    </row>
    <row r="10" ht="38" customHeight="1">
      <c r="A10" s="82" t="inlineStr">
        <is>
          <t>Campo</t>
        </is>
      </c>
      <c r="B10" s="82" t="n"/>
      <c r="C10" s="82" t="n"/>
      <c r="D10" s="82" t="n"/>
      <c r="E10" s="82" t="n"/>
      <c r="F10" s="82" t="n"/>
      <c r="G10" s="82" t="n"/>
      <c r="H10" s="82" t="n"/>
      <c r="I10" s="82" t="inlineStr">
        <is>
          <t>Valor</t>
        </is>
      </c>
      <c r="J10" s="82" t="n"/>
      <c r="K10" s="82" t="n"/>
      <c r="L10" s="82" t="n"/>
      <c r="M10" s="82" t="n"/>
      <c r="N10" s="82" t="n"/>
      <c r="O10" s="82" t="n"/>
    </row>
    <row r="11" ht="38" customHeight="1">
      <c r="A11" s="83" t="inlineStr">
        <is>
          <t>Código</t>
        </is>
      </c>
      <c r="B11" s="84" t="n"/>
      <c r="C11" s="84" t="n"/>
      <c r="D11" s="84" t="n"/>
      <c r="E11" s="84" t="n"/>
      <c r="F11" s="84" t="n"/>
      <c r="G11" s="84" t="n"/>
      <c r="H11" s="84" t="n"/>
      <c r="I11" s="83" t="inlineStr">
        <is>
          <t>HD-REJ-001</t>
        </is>
      </c>
      <c r="J11" s="84" t="n"/>
      <c r="K11" s="84" t="n"/>
      <c r="L11" s="84" t="n"/>
      <c r="M11" s="84" t="n"/>
      <c r="N11" s="84" t="n"/>
      <c r="O11" s="84" t="n"/>
    </row>
    <row r="12" ht="38" customHeight="1">
      <c r="A12" s="83" t="inlineStr">
        <is>
          <t>Revisión</t>
        </is>
      </c>
      <c r="B12" s="84" t="n"/>
      <c r="C12" s="84" t="n"/>
      <c r="D12" s="84" t="n"/>
      <c r="E12" s="84" t="n"/>
      <c r="F12" s="84" t="n"/>
      <c r="G12" s="84" t="n"/>
      <c r="H12" s="84" t="n"/>
      <c r="I12" s="83" t="inlineStr">
        <is>
          <t>1</t>
        </is>
      </c>
      <c r="J12" s="84" t="n"/>
      <c r="K12" s="84" t="n"/>
      <c r="L12" s="84" t="n"/>
      <c r="M12" s="84" t="n"/>
      <c r="N12" s="84" t="n"/>
      <c r="O12" s="84" t="n"/>
    </row>
    <row r="13" ht="38" customHeight="1">
      <c r="A13" s="83" t="inlineStr">
        <is>
          <t>Fecha</t>
        </is>
      </c>
      <c r="B13" s="84" t="n"/>
      <c r="C13" s="84" t="n"/>
      <c r="D13" s="84" t="n"/>
      <c r="E13" s="84" t="n"/>
      <c r="F13" s="84" t="n"/>
      <c r="G13" s="84" t="n"/>
      <c r="H13" s="84" t="n"/>
      <c r="I13" s="83" t="inlineStr">
        <is>
          <t>2026-07-27</t>
        </is>
      </c>
      <c r="J13" s="84" t="n"/>
      <c r="K13" s="84" t="n"/>
      <c r="L13" s="84" t="n"/>
      <c r="M13" s="84" t="n"/>
      <c r="N13" s="84" t="n"/>
      <c r="O13" s="84" t="n"/>
    </row>
    <row r="14" ht="152" customHeight="1">
      <c r="A14" s="83" t="inlineStr">
        <is>
          <t>Proyecto</t>
        </is>
      </c>
      <c r="B14" s="84" t="n"/>
      <c r="C14" s="84" t="n"/>
      <c r="D14" s="84" t="n"/>
      <c r="E14" s="84" t="n"/>
      <c r="F14" s="84" t="n"/>
      <c r="G14" s="84" t="n"/>
      <c r="H14" s="84" t="n"/>
      <c r="I14" s="83" t="inlineStr">
        <is>
          <t>P2437-HV-INF-001 — BRINSA, laboratorio de análisis industrial, Cajicá</t>
        </is>
      </c>
      <c r="J14" s="84" t="n"/>
      <c r="K14" s="84" t="n"/>
      <c r="L14" s="84" t="n"/>
      <c r="M14" s="84" t="n"/>
      <c r="N14" s="84" t="n"/>
      <c r="O14" s="84" t="n"/>
    </row>
    <row r="15" ht="114" customHeight="1">
      <c r="A15" s="83" t="inlineStr">
        <is>
          <t>Etiqueta de equipo</t>
        </is>
      </c>
      <c r="B15" s="84" t="n"/>
      <c r="C15" s="84" t="n"/>
      <c r="D15" s="84" t="n"/>
      <c r="E15" s="84" t="n"/>
      <c r="F15" s="84" t="n"/>
      <c r="G15" s="84" t="n"/>
      <c r="H15" s="84" t="n"/>
      <c r="I15" s="83" t="inlineStr">
        <is>
          <t>REJ-001 a REJ-003 (rejillas de descarga)</t>
        </is>
      </c>
      <c r="J15" s="84" t="n"/>
      <c r="K15" s="84" t="n"/>
      <c r="L15" s="84" t="n"/>
      <c r="M15" s="84" t="n"/>
      <c r="N15" s="84" t="n"/>
      <c r="O15" s="84" t="n"/>
    </row>
    <row r="16" ht="38" customHeight="1"/>
    <row r="17" ht="38" customHeight="1">
      <c r="A17" s="81" t="inlineStr">
        <is>
          <t>1. Servicio</t>
        </is>
      </c>
    </row>
    <row r="18" ht="494" customHeight="1">
      <c r="A18" s="85" t="inlineStr">
        <is>
          <t>1.1. Descarga libre a la atmósfera del caudal de ventilación del laboratorio,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      </is>
      </c>
    </row>
    <row r="19" ht="38" customHeight="1"/>
    <row r="20" ht="38" customHeight="1"/>
    <row r="21" ht="114" customHeight="1">
      <c r="A21" s="81" t="inlineStr">
        <is>
          <t>2. Condiciones de operación y desempeño</t>
        </is>
      </c>
    </row>
    <row r="22" ht="76" customHeight="1">
      <c r="A22" s="86" t="inlineStr">
        <is>
          <t>Tabla 1. Condiciones de diseño (valores congelados de la memoria de cálculo).</t>
        </is>
      </c>
    </row>
    <row r="23" ht="38" customHeight="1">
      <c r="A23" s="82" t="inlineStr">
        <is>
          <t>Parámetro</t>
        </is>
      </c>
      <c r="B23" s="82" t="n"/>
      <c r="C23" s="82" t="n"/>
      <c r="D23" s="82" t="n"/>
      <c r="E23" s="82" t="n"/>
      <c r="F23" s="82" t="n"/>
      <c r="G23" s="82" t="n"/>
      <c r="H23" s="82" t="n"/>
      <c r="I23" s="82" t="inlineStr">
        <is>
          <t>Valor</t>
        </is>
      </c>
      <c r="J23" s="82" t="n"/>
      <c r="K23" s="82" t="n"/>
      <c r="L23" s="82" t="n"/>
      <c r="M23" s="82" t="n"/>
      <c r="N23" s="82" t="n"/>
      <c r="O23" s="82" t="n"/>
    </row>
    <row r="24" ht="38" customHeight="1">
      <c r="A24" s="83" t="inlineStr">
        <is>
          <t>Cantidad</t>
        </is>
      </c>
      <c r="B24" s="84" t="n"/>
      <c r="C24" s="84" t="n"/>
      <c r="D24" s="84" t="n"/>
      <c r="E24" s="84" t="n"/>
      <c r="F24" s="84" t="n"/>
      <c r="G24" s="84" t="n"/>
      <c r="H24" s="84" t="n"/>
      <c r="I24" s="83" t="inlineStr">
        <is>
          <t>3 unidades</t>
        </is>
      </c>
      <c r="J24" s="84" t="n"/>
      <c r="K24" s="84" t="n"/>
      <c r="L24" s="84" t="n"/>
      <c r="M24" s="84" t="n"/>
      <c r="N24" s="84" t="n"/>
      <c r="O24" s="84" t="n"/>
    </row>
    <row r="25" ht="114" customHeight="1">
      <c r="A25" s="83" t="inlineStr">
        <is>
          <t>Dimensiones faciales (unitarias)</t>
        </is>
      </c>
      <c r="B25" s="84" t="n"/>
      <c r="C25" s="84" t="n"/>
      <c r="D25" s="84" t="n"/>
      <c r="E25" s="84" t="n"/>
      <c r="F25" s="84" t="n"/>
      <c r="G25" s="84" t="n"/>
      <c r="H25" s="84" t="n"/>
      <c r="I25" s="83" t="inlineStr">
        <is>
          <t>353×336 mm (área facial 0.1187 m²)</t>
        </is>
      </c>
      <c r="J25" s="84" t="n"/>
      <c r="K25" s="84" t="n"/>
      <c r="L25" s="84" t="n"/>
      <c r="M25" s="84" t="n"/>
      <c r="N25" s="84" t="n"/>
      <c r="O25" s="84" t="n"/>
    </row>
    <row r="26" ht="76" customHeight="1">
      <c r="A26" s="83" t="inlineStr">
        <is>
          <t>Caudal total de descarga</t>
        </is>
      </c>
      <c r="B26" s="84" t="n"/>
      <c r="C26" s="84" t="n"/>
      <c r="D26" s="84" t="n"/>
      <c r="E26" s="84" t="n"/>
      <c r="F26" s="84" t="n"/>
      <c r="G26" s="84" t="n"/>
      <c r="H26" s="84" t="n"/>
      <c r="I26" s="83" t="inlineStr">
        <is>
          <t>3 840 m³/h (1.0667 m³/s)</t>
        </is>
      </c>
      <c r="J26" s="84" t="n"/>
      <c r="K26" s="84" t="n"/>
      <c r="L26" s="84" t="n"/>
      <c r="M26" s="84" t="n"/>
      <c r="N26" s="84" t="n"/>
      <c r="O26" s="84" t="n"/>
    </row>
    <row r="27" ht="76" customHeight="1">
      <c r="A27" s="83" t="inlineStr">
        <is>
          <t>Velocidad facial</t>
        </is>
      </c>
      <c r="B27" s="84" t="n"/>
      <c r="C27" s="84" t="n"/>
      <c r="D27" s="84" t="n"/>
      <c r="E27" s="84" t="n"/>
      <c r="F27" s="84" t="n"/>
      <c r="G27" s="84" t="n"/>
      <c r="H27" s="84" t="n"/>
      <c r="I27" s="83" t="inlineStr">
        <is>
          <t>3 m/s</t>
        </is>
      </c>
      <c r="J27" s="84" t="n"/>
      <c r="K27" s="84" t="n"/>
      <c r="L27" s="84" t="n"/>
      <c r="M27" s="84" t="n"/>
      <c r="N27" s="84" t="n"/>
      <c r="O27" s="84" t="n"/>
    </row>
    <row r="28" ht="152" customHeight="1">
      <c r="A28" s="83" t="inlineStr">
        <is>
          <t>ΔP unitaria (cierre de orificio, C_d = 0.60, en el sitio)</t>
        </is>
      </c>
      <c r="B28" s="84" t="n"/>
      <c r="C28" s="84" t="n"/>
      <c r="D28" s="84" t="n"/>
      <c r="E28" s="84" t="n"/>
      <c r="F28" s="84" t="n"/>
      <c r="G28" s="84" t="n"/>
      <c r="H28" s="84" t="n"/>
      <c r="I28" s="83" t="inlineStr">
        <is>
          <t>11 Pa</t>
        </is>
      </c>
      <c r="J28" s="84" t="n"/>
      <c r="K28" s="84" t="n"/>
      <c r="L28" s="84" t="n"/>
      <c r="M28" s="84" t="n"/>
      <c r="N28" s="84" t="n"/>
      <c r="O28" s="84" t="n"/>
    </row>
    <row r="29" ht="152" customHeight="1">
      <c r="A29" s="83" t="inlineStr">
        <is>
          <t>ΔP equivalente a densidad estándar (ρ = 1.2 kg/m³)</t>
        </is>
      </c>
      <c r="B29" s="84" t="n"/>
      <c r="C29" s="84" t="n"/>
      <c r="D29" s="84" t="n"/>
      <c r="E29" s="84" t="n"/>
      <c r="F29" s="84" t="n"/>
      <c r="G29" s="84" t="n"/>
      <c r="H29" s="84" t="n"/>
      <c r="I29" s="83" t="inlineStr">
        <is>
          <t>15 Pa</t>
        </is>
      </c>
      <c r="J29" s="84" t="n"/>
      <c r="K29" s="84" t="n"/>
      <c r="L29" s="84" t="n"/>
      <c r="M29" s="84" t="n"/>
      <c r="N29" s="84" t="n"/>
      <c r="O29" s="84" t="n"/>
    </row>
    <row r="30" ht="114" customHeight="1">
      <c r="A30" s="83" t="inlineStr">
        <is>
          <t>Densidad del aire de diseño</t>
        </is>
      </c>
      <c r="B30" s="84" t="n"/>
      <c r="C30" s="84" t="n"/>
      <c r="D30" s="84" t="n"/>
      <c r="E30" s="84" t="n"/>
      <c r="F30" s="84" t="n"/>
      <c r="G30" s="84" t="n"/>
      <c r="H30" s="84" t="n"/>
      <c r="I30" s="83" t="inlineStr">
        <is>
          <t>0.88 kg/m³ (2 558 msnm, 74.1 kPa)</t>
        </is>
      </c>
      <c r="J30" s="84" t="n"/>
      <c r="K30" s="84" t="n"/>
      <c r="L30" s="84" t="n"/>
      <c r="M30" s="84" t="n"/>
      <c r="N30" s="84" t="n"/>
      <c r="O30" s="84" t="n"/>
    </row>
    <row r="31" ht="38" customHeight="1"/>
    <row r="32" ht="418" customHeight="1">
      <c r="A32" s="85" t="inlineStr">
        <is>
          <t>2.1. Nota de contexto: la ΔP unitaria de 11 Pa (cierre de orificio, C_d = 0.60, a 3 m/s) es la pérdida de descarga libre a la atmósfera y se suma a la caída de presión de la etapa filtrante para definir el punto de trabajo del ventilador; no existe consigna de presión interior que sostener.</t>
        </is>
      </c>
    </row>
    <row r="33" ht="38" customHeight="1"/>
    <row r="34" ht="38" customHeight="1"/>
    <row r="35" ht="114" customHeight="1">
      <c r="A35" s="81" t="inlineStr">
        <is>
          <t>3. Construcción y áreas netas</t>
        </is>
      </c>
    </row>
    <row r="36" ht="38" customHeight="1">
      <c r="A36" s="86" t="inlineStr">
        <is>
          <t>Tabla 2. Especificación constructiva.</t>
        </is>
      </c>
    </row>
    <row r="37" ht="38" customHeight="1">
      <c r="A37" s="82" t="inlineStr">
        <is>
          <t>Característica</t>
        </is>
      </c>
      <c r="B37" s="82" t="n"/>
      <c r="C37" s="82" t="n"/>
      <c r="D37" s="82" t="n"/>
      <c r="E37" s="82" t="n"/>
      <c r="F37" s="82" t="n"/>
      <c r="G37" s="82" t="n"/>
      <c r="H37" s="82" t="n"/>
      <c r="I37" s="82" t="inlineStr">
        <is>
          <t>Especificación</t>
        </is>
      </c>
      <c r="J37" s="82" t="n"/>
      <c r="K37" s="82" t="n"/>
      <c r="L37" s="82" t="n"/>
      <c r="M37" s="82" t="n"/>
      <c r="N37" s="82" t="n"/>
      <c r="O37" s="82" t="n"/>
    </row>
    <row r="38" ht="152" customHeight="1">
      <c r="A38" s="83" t="inlineStr">
        <is>
          <t>Tipo de núcleo</t>
        </is>
      </c>
      <c r="B38" s="84" t="n"/>
      <c r="C38" s="84" t="n"/>
      <c r="D38" s="84" t="n"/>
      <c r="E38" s="84" t="n"/>
      <c r="F38" s="84" t="n"/>
      <c r="G38" s="84" t="n"/>
      <c r="H38" s="84" t="n"/>
      <c r="I38" s="83" t="inlineStr">
        <is>
          <t>Eggcrate (panal) ½×½×½ in (12.7 mm), máxima área libre</t>
        </is>
      </c>
      <c r="J38" s="84" t="n"/>
      <c r="K38" s="84" t="n"/>
      <c r="L38" s="84" t="n"/>
      <c r="M38" s="84" t="n"/>
      <c r="N38" s="84" t="n"/>
      <c r="O38" s="84" t="n"/>
    </row>
    <row r="39" ht="456" customHeight="1">
      <c r="A39" s="83" t="inlineStr">
        <is>
          <t>Área libre del núcleo</t>
        </is>
      </c>
      <c r="B39" s="84" t="n"/>
      <c r="C39" s="84" t="n"/>
      <c r="D39" s="84" t="n"/>
      <c r="E39" s="84" t="n"/>
      <c r="F39" s="84" t="n"/>
      <c r="G39" s="84" t="n"/>
      <c r="H39" s="84" t="n"/>
      <c r="I39" s="83" t="inlineStr">
        <is>
          <t>≥ 90 % (cifra repetida en catálogos del tipo; Airfoil RC-FCR5 (https://airfoil.com.au/product/removable-core-fixing-clip-eggcrate-grille-rc-fcr5/), consulta 2026-07-23)</t>
        </is>
      </c>
      <c r="J39" s="84" t="n"/>
      <c r="K39" s="84" t="n"/>
      <c r="L39" s="84" t="n"/>
      <c r="M39" s="84" t="n"/>
      <c r="N39" s="84" t="n"/>
      <c r="O39" s="84" t="n"/>
    </row>
    <row r="40" ht="722" customHeight="1">
      <c r="A40" s="83" t="inlineStr">
        <is>
          <t>Malla anti-insectos</t>
        </is>
      </c>
      <c r="B40" s="84" t="n"/>
      <c r="C40" s="84" t="n"/>
      <c r="D40" s="84" t="n"/>
      <c r="E40" s="84" t="n"/>
      <c r="F40" s="84" t="n"/>
      <c r="G40" s="84" t="n"/>
      <c r="H40" s="84" t="n"/>
      <c r="I40" s="83" t="inlineStr">
        <is>
      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      </is>
      </c>
      <c r="J40" s="84" t="n"/>
      <c r="K40" s="84" t="n"/>
      <c r="L40" s="84" t="n"/>
      <c r="M40" s="84" t="n"/>
      <c r="N40" s="84" t="n"/>
      <c r="O40" s="84" t="n"/>
    </row>
    <row r="41" ht="152" customHeight="1">
      <c r="A41" s="83" t="inlineStr">
        <is>
          <t>Área neta combinada (núcleo + malla)</t>
        </is>
      </c>
      <c r="B41" s="84" t="n"/>
      <c r="C41" s="84" t="n"/>
      <c r="D41" s="84" t="n"/>
      <c r="E41" s="84" t="n"/>
      <c r="F41" s="84" t="n"/>
      <c r="G41" s="84" t="n"/>
      <c r="H41" s="84" t="n"/>
      <c r="I41" s="83" t="inlineStr">
        <is>
          <t>≈ 45 % del área facial (dato típico: 0.90 × 0.50)</t>
        </is>
      </c>
      <c r="J41" s="84" t="n"/>
      <c r="K41" s="84" t="n"/>
      <c r="L41" s="84" t="n"/>
      <c r="M41" s="84" t="n"/>
      <c r="N41" s="84" t="n"/>
      <c r="O41" s="84" t="n"/>
    </row>
    <row r="42" ht="190" customHeight="1">
      <c r="A42" s="83" t="inlineStr">
        <is>
          <t>Material de la rejilla</t>
        </is>
      </c>
      <c r="B42" s="84" t="n"/>
      <c r="C42" s="84" t="n"/>
      <c r="D42" s="84" t="n"/>
      <c r="E42" s="84" t="n"/>
      <c r="F42" s="84" t="n"/>
      <c r="G42" s="84" t="n"/>
      <c r="H42" s="84" t="n"/>
      <c r="I42" s="83" t="inlineStr">
        <is>
          <t>Inox 316L (primera opción) o aluminio anodizado 6063-T5 (alternativa)</t>
        </is>
      </c>
      <c r="J42" s="84" t="n"/>
      <c r="K42" s="84" t="n"/>
      <c r="L42" s="84" t="n"/>
      <c r="M42" s="84" t="n"/>
      <c r="N42" s="84" t="n"/>
      <c r="O42" s="84" t="n"/>
    </row>
    <row r="43" ht="76" customHeight="1">
      <c r="A43" s="83" t="inlineStr">
        <is>
          <t>Material de la malla</t>
        </is>
      </c>
      <c r="B43" s="84" t="n"/>
      <c r="C43" s="84" t="n"/>
      <c r="D43" s="84" t="n"/>
      <c r="E43" s="84" t="n"/>
      <c r="F43" s="84" t="n"/>
      <c r="G43" s="84" t="n"/>
      <c r="H43" s="84" t="n"/>
      <c r="I43" s="83" t="inlineStr">
        <is>
          <t>Inox 316</t>
        </is>
      </c>
      <c r="J43" s="84" t="n"/>
      <c r="K43" s="84" t="n"/>
      <c r="L43" s="84" t="n"/>
      <c r="M43" s="84" t="n"/>
      <c r="N43" s="84" t="n"/>
      <c r="O43" s="84" t="n"/>
    </row>
    <row r="44" ht="114" customHeight="1">
      <c r="A44" s="83" t="inlineStr">
        <is>
          <t>Montaje de la malla</t>
        </is>
      </c>
      <c r="B44" s="84" t="n"/>
      <c r="C44" s="84" t="n"/>
      <c r="D44" s="84" t="n"/>
      <c r="E44" s="84" t="n"/>
      <c r="F44" s="84" t="n"/>
      <c r="G44" s="84" t="n"/>
      <c r="H44" s="84" t="n"/>
      <c r="I44" s="83" t="inlineStr">
        <is>
          <t>Marco desmontable para limpieza periódica</t>
        </is>
      </c>
      <c r="J44" s="84" t="n"/>
      <c r="K44" s="84" t="n"/>
      <c r="L44" s="84" t="n"/>
      <c r="M44" s="84" t="n"/>
      <c r="N44" s="84" t="n"/>
      <c r="O44" s="84" t="n"/>
    </row>
    <row r="45" ht="266" customHeight="1">
      <c r="A45" s="83" t="inlineStr">
        <is>
          <t>Par galvánico</t>
        </is>
      </c>
      <c r="B45" s="84" t="n"/>
      <c r="C45" s="84" t="n"/>
      <c r="D45" s="84" t="n"/>
      <c r="E45" s="84" t="n"/>
      <c r="F45" s="84" t="n"/>
      <c r="G45" s="84" t="n"/>
      <c r="H45" s="84" t="n"/>
      <c r="I45" s="83" t="inlineStr">
        <is>
          <t>Si se combina marco de aluminio con malla inox, aislamiento dieléctrico (dato típico de ingeniería)</t>
        </is>
      </c>
      <c r="J45" s="84" t="n"/>
      <c r="K45" s="84" t="n"/>
      <c r="L45" s="84" t="n"/>
      <c r="M45" s="84" t="n"/>
      <c r="N45" s="84" t="n"/>
      <c r="O45" s="84" t="n"/>
    </row>
    <row r="46" ht="114" customHeight="1">
      <c r="A46" s="83" t="inlineStr">
        <is>
          <t>Ensayo de desempeño</t>
        </is>
      </c>
      <c r="B46" s="84" t="n"/>
      <c r="C46" s="84" t="n"/>
      <c r="D46" s="84" t="n"/>
      <c r="E46" s="84" t="n"/>
      <c r="F46" s="84" t="n"/>
      <c r="G46" s="84" t="n"/>
      <c r="H46" s="84" t="n"/>
      <c r="I46" s="83" t="inlineStr">
        <is>
          <t>ASHRAE 70 (medición de rejillas)</t>
        </is>
      </c>
      <c r="J46" s="84" t="n"/>
      <c r="K46" s="84" t="n"/>
      <c r="L46" s="84" t="n"/>
      <c r="M46" s="84" t="n"/>
      <c r="N46" s="84" t="n"/>
      <c r="O46" s="84" t="n"/>
    </row>
    <row r="47" ht="38" customHeight="1"/>
    <row r="48" ht="190" customHeight="1">
      <c r="A48" s="85" t="inlineStr">
        <is>
          <t>3.1. La malla domina la pérdida del conjunto; el dimensionamiento por área neta combinada y la ΔP calculada por cierre de orificio (11 Pa) deben verificarse contra el área efectiva (Ak) del fabricante seleccionado (por confirmar con proveedor).</t>
        </is>
      </c>
    </row>
    <row r="49" ht="38" customHeight="1"/>
    <row r="50" ht="76" customHeight="1">
      <c r="A50" s="81" t="inlineStr">
        <is>
          <t>4. Candidatos comerciales</t>
        </is>
      </c>
    </row>
    <row r="51" ht="38" customHeight="1">
      <c r="A51" s="86" t="inlineStr">
        <is>
          <t>Tabla 3. Candidatos (consulta 2026-07-23).</t>
        </is>
      </c>
    </row>
    <row r="52" ht="76" customHeight="1">
      <c r="A52" s="82" t="inlineStr">
        <is>
          <t>Producto</t>
        </is>
      </c>
      <c r="B52" s="82" t="n"/>
      <c r="C52" s="82" t="n"/>
      <c r="D52" s="82" t="inlineStr">
        <is>
          <t>Tipo / material</t>
        </is>
      </c>
      <c r="E52" s="82" t="n"/>
      <c r="F52" s="82" t="n"/>
      <c r="G52" s="82" t="inlineStr">
        <is>
          <t>Pros</t>
        </is>
      </c>
      <c r="H52" s="82" t="n"/>
      <c r="I52" s="82" t="n"/>
      <c r="J52" s="82" t="inlineStr">
        <is>
          <t>Contras</t>
        </is>
      </c>
      <c r="K52" s="82" t="n"/>
      <c r="L52" s="82" t="n"/>
      <c r="M52" s="82" t="inlineStr">
        <is>
          <t>Fuente</t>
        </is>
      </c>
      <c r="N52" s="82" t="n"/>
      <c r="O52" s="82" t="n"/>
    </row>
    <row r="53" ht="266" customHeight="1">
      <c r="A53" s="83" t="inlineStr">
        <is>
          <t>Titus 50F / 50R</t>
        </is>
      </c>
      <c r="B53" s="84" t="n"/>
      <c r="C53" s="84" t="n"/>
      <c r="D53" s="83" t="inlineStr">
        <is>
          <t>Eggcrate ½ in; aluminio, con versión íntegramente inox de fábrica</t>
        </is>
      </c>
      <c r="E53" s="84" t="n"/>
      <c r="F53" s="84" t="n"/>
      <c r="G53" s="83" t="inlineStr">
        <is>
          <t>«Highest free area of any return grille»; única opción inox de catálogo</t>
        </is>
      </c>
      <c r="H53" s="84" t="n"/>
      <c r="I53" s="84" t="n"/>
      <c r="J53" s="83" t="inlineStr">
        <is>
          <t>Importación; tamaño 353×336 por pedido</t>
        </is>
      </c>
      <c r="K53" s="84" t="n"/>
      <c r="L53" s="84" t="n"/>
      <c r="M53" s="83" t="inlineStr">
        <is>
          <t>Titus 50F (PDF) (https://www.titus-hvac.com/file/1228/50F_50Rrprod_specialized_2017.pdf)</t>
        </is>
      </c>
      <c r="N53" s="84" t="n"/>
      <c r="O53" s="84" t="n"/>
    </row>
    <row r="54" ht="266" customHeight="1">
      <c r="A54" s="83" t="inlineStr">
        <is>
          <t>Krueger EGC5</t>
        </is>
      </c>
      <c r="B54" s="84" t="n"/>
      <c r="C54" s="84" t="n"/>
      <c r="D54" s="83" t="inlineStr">
        <is>
          <t>Eggcrate ½ in; aluminio</t>
        </is>
      </c>
      <c r="E54" s="84" t="n"/>
      <c r="F54" s="84" t="n"/>
      <c r="G54" s="83" t="inlineStr">
        <is>
          <t>Amplia gama de tamaños (6×4 in a 96×96 in)</t>
        </is>
      </c>
      <c r="H54" s="84" t="n"/>
      <c r="I54" s="84" t="n"/>
      <c r="J54" s="83" t="inlineStr">
        <is>
          <t>Sin ejecución inox</t>
        </is>
      </c>
      <c r="K54" s="84" t="n"/>
      <c r="L54" s="84" t="n"/>
      <c r="M54" s="83" t="inlineStr">
        <is>
          <t>Krueger EGC5 (https://www.krueger-hvac.com/Catalog%20Home/Grilles/Grilles%20-%20Return/EGC5)</t>
        </is>
      </c>
      <c r="N54" s="84" t="n"/>
      <c r="O54" s="84" t="n"/>
    </row>
    <row r="55" ht="266" customHeight="1">
      <c r="A55" s="83" t="inlineStr">
        <is>
          <t>ProAire S.A.S (Bogotá)</t>
        </is>
      </c>
      <c r="B55" s="84" t="n"/>
      <c r="C55" s="84" t="n"/>
      <c r="D55" s="83" t="inlineStr">
        <is>
          <t>Fabricación a medida con corte láser, inox 316</t>
        </is>
      </c>
      <c r="E55" s="84" t="n"/>
      <c r="F55" s="84" t="n"/>
      <c r="G55" s="83" t="inlineStr">
        <is>
          <t>Medida exacta 353×336 y ejecución inox 316L local; vía recomendada</t>
        </is>
      </c>
      <c r="H55" s="84" t="n"/>
      <c r="I55" s="84" t="n"/>
      <c r="J55" s="83" t="inlineStr">
        <is>
          <t>Submittal y Ak por confirmar con proveedor</t>
        </is>
      </c>
      <c r="K55" s="84" t="n"/>
      <c r="L55" s="84" t="n"/>
      <c r="M55" s="83" t="inlineStr">
        <is>
          <t>proairecolombia.com (https://www.proairecolombia.com/productos/rejillas-y-difusores.html)</t>
        </is>
      </c>
      <c r="N55" s="84" t="n"/>
      <c r="O55" s="84" t="n"/>
    </row>
    <row r="56" ht="190" customHeight="1">
      <c r="A56" s="83" t="inlineStr">
        <is>
          <t>Laminaire (Colombia)</t>
        </is>
      </c>
      <c r="B56" s="84" t="n"/>
      <c r="C56" s="84" t="n"/>
      <c r="D56" s="83" t="inlineStr">
        <is>
          <t>Rejillas y difusores en aluminio a pedido</t>
        </is>
      </c>
      <c r="E56" s="84" t="n"/>
      <c r="F56" s="84" t="n"/>
      <c r="G56" s="83" t="inlineStr">
        <is>
          <t>Fabricación local con software de selección; marco para malla a pedido</t>
        </is>
      </c>
      <c r="H56" s="84" t="n"/>
      <c r="I56" s="84" t="n"/>
      <c r="J56" s="83" t="inlineStr">
        <is>
          <t>Confirmar ejecución inox</t>
        </is>
      </c>
      <c r="K56" s="84" t="n"/>
      <c r="L56" s="84" t="n"/>
      <c r="M56" s="83" t="inlineStr">
        <is>
          <t>laminaire.net (https://laminaire.net/)</t>
        </is>
      </c>
      <c r="N56" s="84" t="n"/>
      <c r="O56" s="84" t="n"/>
    </row>
    <row r="57" ht="114" customHeight="1">
      <c r="A57" s="83" t="inlineStr">
        <is>
          <t>CL Ingeniería (Bogotá)</t>
        </is>
      </c>
      <c r="B57" s="84" t="n"/>
      <c r="C57" s="84" t="n"/>
      <c r="D57" s="83" t="inlineStr">
        <is>
          <t>Rejillas y accesorios HVAC</t>
        </is>
      </c>
      <c r="E57" s="84" t="n"/>
      <c r="F57" s="84" t="n"/>
      <c r="G57" s="83" t="inlineStr">
        <is>
          <t>Canal local adicional</t>
        </is>
      </c>
      <c r="H57" s="84" t="n"/>
      <c r="I57" s="84" t="n"/>
      <c r="J57" s="83" t="inlineStr">
        <is>
          <t>Catálogo genérico</t>
        </is>
      </c>
      <c r="K57" s="84" t="n"/>
      <c r="L57" s="84" t="n"/>
      <c r="M57" s="83" t="inlineStr">
        <is>
          <t>clingenieria.co (https://clingenieria.co/)</t>
        </is>
      </c>
      <c r="N57" s="84" t="n"/>
      <c r="O57" s="84" t="n"/>
    </row>
    <row r="58" ht="38" customHeight="1"/>
    <row r="59" ht="38" customHeight="1">
      <c r="A59" s="81" t="inlineStr">
        <is>
          <t>5. Instalación</t>
        </is>
      </c>
    </row>
    <row r="60" ht="456" customHeight="1">
      <c r="A60" s="85" t="inlineStr">
        <is>
      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</t>
        </is>
      </c>
    </row>
    <row r="61" ht="38" customHeight="1"/>
    <row r="62" ht="114" customHeight="1">
      <c r="A62" s="85" t="inlineStr">
        <is>
          <t>5.2. Las bocas exteriores se orientan preferentemente a sotavento respecto de las fuentes de cloro de la planta.</t>
        </is>
      </c>
    </row>
    <row r="63" ht="114" customHeight="1">
      <c r="A63" s="85" t="inlineStr">
        <is>
          <t>5.3. Programa de limpieza de la malla según carga de polvo observada en comisionamiento (dato típico de operación).</t>
        </is>
      </c>
    </row>
    <row r="64" ht="38" customHeight="1"/>
    <row r="65" ht="76" customHeight="1">
      <c r="A65" s="81" t="inlineStr">
        <is>
          <t>6. Normas aplicables</t>
        </is>
      </c>
    </row>
    <row r="66" ht="494" customHeight="1">
      <c r="A66" s="85" t="inlineStr">
        <is>
      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      </is>
      </c>
    </row>
    <row r="67" ht="38" customHeight="1"/>
  </sheetData>
  <mergeCells count="100">
    <mergeCell ref="I44:O44"/>
    <mergeCell ref="D53:F53"/>
    <mergeCell ref="A50:O50"/>
    <mergeCell ref="A57:C57"/>
    <mergeCell ref="N3:O3"/>
    <mergeCell ref="A25:H25"/>
    <mergeCell ref="I30:O30"/>
    <mergeCell ref="N5:O5"/>
    <mergeCell ref="I46:O46"/>
    <mergeCell ref="C2:L3"/>
    <mergeCell ref="A52:C52"/>
    <mergeCell ref="J52:L52"/>
    <mergeCell ref="M53:O53"/>
    <mergeCell ref="G52:I52"/>
    <mergeCell ref="I41:O41"/>
    <mergeCell ref="M55:O55"/>
    <mergeCell ref="A29:H29"/>
    <mergeCell ref="A38:H38"/>
    <mergeCell ref="M52:O52"/>
    <mergeCell ref="I43:O43"/>
    <mergeCell ref="A13:H13"/>
    <mergeCell ref="A44:H44"/>
    <mergeCell ref="I24:O24"/>
    <mergeCell ref="B1:B5"/>
    <mergeCell ref="D57:F57"/>
    <mergeCell ref="A40:H40"/>
    <mergeCell ref="A15:H15"/>
    <mergeCell ref="A24:H24"/>
    <mergeCell ref="A55:C55"/>
    <mergeCell ref="I10:O10"/>
    <mergeCell ref="N2:O2"/>
    <mergeCell ref="G55:I55"/>
    <mergeCell ref="M57:O57"/>
    <mergeCell ref="A27:H27"/>
    <mergeCell ref="D55:F55"/>
    <mergeCell ref="I11:O11"/>
    <mergeCell ref="I45:O45"/>
    <mergeCell ref="G54:I54"/>
    <mergeCell ref="D54:F54"/>
    <mergeCell ref="A42:H42"/>
    <mergeCell ref="M56:O56"/>
    <mergeCell ref="G56:I56"/>
    <mergeCell ref="I28:O28"/>
    <mergeCell ref="A59:O59"/>
    <mergeCell ref="I37:O37"/>
    <mergeCell ref="N6:O6"/>
    <mergeCell ref="A28:H28"/>
    <mergeCell ref="N4:O4"/>
    <mergeCell ref="J53:L53"/>
    <mergeCell ref="I23:O23"/>
    <mergeCell ref="A30:H30"/>
    <mergeCell ref="G53:I53"/>
    <mergeCell ref="J55:L55"/>
    <mergeCell ref="J54:L54"/>
    <mergeCell ref="A41:H41"/>
    <mergeCell ref="J56:L56"/>
    <mergeCell ref="A17:O17"/>
    <mergeCell ref="A60:O61"/>
    <mergeCell ref="I27:O27"/>
    <mergeCell ref="A35:O35"/>
    <mergeCell ref="A26:H26"/>
    <mergeCell ref="A66:O67"/>
    <mergeCell ref="A1:A5"/>
    <mergeCell ref="A9:O9"/>
    <mergeCell ref="C1:L1"/>
    <mergeCell ref="J57:L57"/>
    <mergeCell ref="A18:O19"/>
    <mergeCell ref="A10:H10"/>
    <mergeCell ref="I12:O12"/>
    <mergeCell ref="A32:O33"/>
    <mergeCell ref="A54:C54"/>
    <mergeCell ref="A65:O65"/>
    <mergeCell ref="A39:H39"/>
    <mergeCell ref="I14:O14"/>
    <mergeCell ref="I39:O39"/>
    <mergeCell ref="M54:O54"/>
    <mergeCell ref="G57:I57"/>
    <mergeCell ref="A56:C56"/>
    <mergeCell ref="I29:O29"/>
    <mergeCell ref="A11:H11"/>
    <mergeCell ref="I38:O38"/>
    <mergeCell ref="A45:H45"/>
    <mergeCell ref="A21:O21"/>
    <mergeCell ref="I13:O13"/>
    <mergeCell ref="I40:O40"/>
    <mergeCell ref="D56:F56"/>
    <mergeCell ref="I15:O15"/>
    <mergeCell ref="A53:C53"/>
    <mergeCell ref="A37:H37"/>
    <mergeCell ref="A46:H46"/>
    <mergeCell ref="N1:O1"/>
    <mergeCell ref="A12:H12"/>
    <mergeCell ref="I26:O26"/>
    <mergeCell ref="A14:H14"/>
    <mergeCell ref="A23:H23"/>
    <mergeCell ref="I25:O25"/>
    <mergeCell ref="C4:L6"/>
    <mergeCell ref="A43:H43"/>
    <mergeCell ref="D52:F52"/>
    <mergeCell ref="I42:O42"/>
  </mergeCells>
  <pageMargins left="0.75" right="0.75" top="1" bottom="1" header="0.5" footer="0.5"/>
  <pageSetup orientation="landscape" paperSize="8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2026-07-28T14:34:54Z</dcterms:modified>
  <cp:lastModifiedBy>JAG DESIGN</cp:lastModifiedBy>
  <cp:lastPrinted>2026-07-23T18:36:47Z</cp:lastPrinted>
</cp:coreProperties>
</file>