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ESPECIFICACIÓN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21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b val="1"/>
      <color rgb="001F4E78"/>
      <sz val="14"/>
    </font>
    <font>
      <b val="1"/>
      <color rgb="00FFFFFF"/>
      <sz val="11"/>
    </font>
    <font>
      <b val="1"/>
      <color rgb="001F4E78"/>
      <sz val="12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3" fontId="6" fillId="0" borderId="0" applyAlignment="1" pivotButton="0" quotePrefix="0" xfId="3">
      <alignment vertical="center"/>
    </xf>
    <xf numFmtId="0" fontId="0" fillId="0" borderId="11" pivotButton="0" quotePrefix="0" xfId="0"/>
    <xf numFmtId="0" fontId="0" fillId="0" borderId="12" pivotButton="0" quotePrefix="0" xfId="0"/>
    <xf numFmtId="0" fontId="17" fillId="0" borderId="0" applyAlignment="1" pivotButton="0" quotePrefix="0" xfId="0">
      <alignment vertical="center" wrapText="1"/>
    </xf>
    <xf numFmtId="0" fontId="18" fillId="5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0" borderId="13" pivotButton="0" quotePrefix="0" xfId="0"/>
    <xf numFmtId="0" fontId="19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left" vertical="top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29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5" t="n"/>
      <c r="N1" s="30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5" t="n"/>
      <c r="Z1" s="27" t="inlineStr">
        <is>
          <t>DISEÑO DE INGENIERÍA</t>
        </is>
      </c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  <c r="AQ1" s="44" t="n"/>
      <c r="AR1" s="44" t="n"/>
      <c r="AS1" s="44" t="n"/>
      <c r="AT1" s="44" t="n"/>
      <c r="AU1" s="44" t="n"/>
      <c r="AV1" s="44" t="n"/>
      <c r="AW1" s="44" t="n"/>
      <c r="AX1" s="44" t="n"/>
      <c r="AY1" s="44" t="n"/>
      <c r="AZ1" s="44" t="n"/>
      <c r="BA1" s="44" t="n"/>
      <c r="BB1" s="45" t="n"/>
      <c r="BC1" s="26" t="inlineStr">
        <is>
          <t>CODIGO:</t>
        </is>
      </c>
      <c r="BD1" s="46" t="n"/>
      <c r="BE1" s="46" t="n"/>
      <c r="BF1" s="46" t="n"/>
      <c r="BG1" s="46" t="n"/>
      <c r="BH1" s="46" t="n"/>
      <c r="BI1" s="46" t="n"/>
      <c r="BJ1" s="46" t="n"/>
      <c r="BK1" s="46" t="n"/>
      <c r="BL1" s="46" t="n"/>
      <c r="BM1" s="46" t="n"/>
      <c r="BN1" s="47" t="n"/>
      <c r="BO1" s="25" t="inlineStr">
        <is>
          <t>P2437-IC-DTS-001</t>
        </is>
      </c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9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0" t="n"/>
      <c r="M2" s="51" t="n"/>
      <c r="N2" s="50" t="n"/>
      <c r="Y2" s="51" t="n"/>
      <c r="Z2" s="52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  <c r="AQ2" s="53" t="n"/>
      <c r="AR2" s="53" t="n"/>
      <c r="AS2" s="53" t="n"/>
      <c r="AT2" s="53" t="n"/>
      <c r="AU2" s="53" t="n"/>
      <c r="AV2" s="53" t="n"/>
      <c r="AW2" s="53" t="n"/>
      <c r="AX2" s="53" t="n"/>
      <c r="AY2" s="53" t="n"/>
      <c r="AZ2" s="53" t="n"/>
      <c r="BA2" s="53" t="n"/>
      <c r="BB2" s="54" t="n"/>
      <c r="BC2" s="26" t="inlineStr">
        <is>
          <t>REVISION:</t>
        </is>
      </c>
      <c r="BD2" s="46" t="n"/>
      <c r="BE2" s="46" t="n"/>
      <c r="BF2" s="46" t="n"/>
      <c r="BG2" s="46" t="n"/>
      <c r="BH2" s="46" t="n"/>
      <c r="BI2" s="46" t="n"/>
      <c r="BJ2" s="46" t="n"/>
      <c r="BK2" s="46" t="n"/>
      <c r="BL2" s="46" t="n"/>
      <c r="BM2" s="46" t="n"/>
      <c r="BN2" s="47" t="n"/>
      <c r="BO2" s="25" t="inlineStr">
        <is>
          <t>CERO (0)</t>
        </is>
      </c>
      <c r="BP2" s="48" t="n"/>
      <c r="BQ2" s="48" t="n"/>
      <c r="BR2" s="48" t="n"/>
      <c r="BS2" s="48" t="n"/>
      <c r="BT2" s="48" t="n"/>
      <c r="BU2" s="48" t="n"/>
      <c r="BV2" s="48" t="n"/>
      <c r="BW2" s="48" t="n"/>
      <c r="BX2" s="48" t="n"/>
      <c r="BY2" s="48" t="n"/>
      <c r="BZ2" s="49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0" t="n"/>
      <c r="M3" s="51" t="n"/>
      <c r="N3" s="50" t="n"/>
      <c r="Y3" s="51" t="n"/>
      <c r="Z3" s="27" t="inlineStr">
        <is>
          <t>SISTEMA HVAC LABORATORIO BRINSA</t>
        </is>
      </c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  <c r="AR3" s="44" t="n"/>
      <c r="AS3" s="44" t="n"/>
      <c r="AT3" s="44" t="n"/>
      <c r="AU3" s="44" t="n"/>
      <c r="AV3" s="44" t="n"/>
      <c r="AW3" s="44" t="n"/>
      <c r="AX3" s="44" t="n"/>
      <c r="AY3" s="44" t="n"/>
      <c r="AZ3" s="44" t="n"/>
      <c r="BA3" s="44" t="n"/>
      <c r="BB3" s="45" t="n"/>
      <c r="BC3" s="26" t="inlineStr">
        <is>
          <t>FECHA:</t>
        </is>
      </c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7" t="n"/>
      <c r="BO3" s="25" t="inlineStr">
        <is>
          <t>JULIO 23 DEL 2026</t>
        </is>
      </c>
      <c r="BP3" s="48" t="n"/>
      <c r="BQ3" s="48" t="n"/>
      <c r="BR3" s="48" t="n"/>
      <c r="BS3" s="48" t="n"/>
      <c r="BT3" s="48" t="n"/>
      <c r="BU3" s="48" t="n"/>
      <c r="BV3" s="48" t="n"/>
      <c r="BW3" s="48" t="n"/>
      <c r="BX3" s="48" t="n"/>
      <c r="BY3" s="48" t="n"/>
      <c r="BZ3" s="49" t="n"/>
    </row>
    <row r="4" ht="25" customFormat="1" customHeight="1" s="2">
      <c r="A4" s="50" t="n"/>
      <c r="M4" s="51" t="n"/>
      <c r="N4" s="50" t="n"/>
      <c r="Y4" s="51" t="n"/>
      <c r="Z4" s="52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  <c r="AQ4" s="53" t="n"/>
      <c r="AR4" s="53" t="n"/>
      <c r="AS4" s="53" t="n"/>
      <c r="AT4" s="53" t="n"/>
      <c r="AU4" s="53" t="n"/>
      <c r="AV4" s="53" t="n"/>
      <c r="AW4" s="53" t="n"/>
      <c r="AX4" s="53" t="n"/>
      <c r="AY4" s="53" t="n"/>
      <c r="AZ4" s="53" t="n"/>
      <c r="BA4" s="53" t="n"/>
      <c r="BB4" s="54" t="n"/>
      <c r="BC4" s="26" t="inlineStr">
        <is>
          <t>ELABORO:</t>
        </is>
      </c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7" t="n"/>
      <c r="BO4" s="25" t="inlineStr">
        <is>
          <t>J.ARBOLEDA</t>
        </is>
      </c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9" t="n"/>
    </row>
    <row r="5" ht="25" customFormat="1" customHeight="1" s="2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4" t="n"/>
      <c r="N5" s="52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4" t="n"/>
      <c r="Z5" s="31" t="inlineStr">
        <is>
          <t>HOJA DE DATOS Y ESPECIFICACIONES TÉCNICAS DE LOS INSTRUMENTOS DE PRESIÓN DIFERENCIAL</t>
        </is>
      </c>
      <c r="AA5" s="44" t="n"/>
      <c r="AB5" s="44" t="n"/>
      <c r="AC5" s="44" t="n"/>
      <c r="AD5" s="44" t="n"/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44" t="n"/>
      <c r="AT5" s="44" t="n"/>
      <c r="AU5" s="44" t="n"/>
      <c r="AV5" s="44" t="n"/>
      <c r="AW5" s="44" t="n"/>
      <c r="AX5" s="44" t="n"/>
      <c r="AY5" s="44" t="n"/>
      <c r="AZ5" s="44" t="n"/>
      <c r="BA5" s="44" t="n"/>
      <c r="BB5" s="45" t="n"/>
      <c r="BC5" s="26" t="inlineStr">
        <is>
          <t>REVISO:</t>
        </is>
      </c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7" t="n"/>
      <c r="BO5" s="25" t="inlineStr">
        <is>
          <t>F.NAVIA</t>
        </is>
      </c>
      <c r="BP5" s="48" t="n"/>
      <c r="BQ5" s="48" t="n"/>
      <c r="BR5" s="48" t="n"/>
      <c r="BS5" s="48" t="n"/>
      <c r="BT5" s="48" t="n"/>
      <c r="BU5" s="48" t="n"/>
      <c r="BV5" s="48" t="n"/>
      <c r="BW5" s="48" t="n"/>
      <c r="BX5" s="48" t="n"/>
      <c r="BY5" s="48" t="n"/>
      <c r="BZ5" s="49" t="n"/>
    </row>
    <row r="6" ht="25" customFormat="1" customHeight="1" s="2">
      <c r="A6" s="28" t="inlineStr">
        <is>
          <t>PROYECTO</t>
        </is>
      </c>
      <c r="B6" s="46" t="n"/>
      <c r="C6" s="46" t="n"/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7" t="n"/>
      <c r="N6" s="28" t="inlineStr">
        <is>
          <t>P2437</t>
        </is>
      </c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7" t="n"/>
      <c r="Z6" s="52" t="n"/>
      <c r="AA6" s="53" t="n"/>
      <c r="AB6" s="53" t="n"/>
      <c r="AC6" s="53" t="n"/>
      <c r="AD6" s="53" t="n"/>
      <c r="AE6" s="53" t="n"/>
      <c r="AF6" s="53" t="n"/>
      <c r="AG6" s="53" t="n"/>
      <c r="AH6" s="53" t="n"/>
      <c r="AI6" s="53" t="n"/>
      <c r="AJ6" s="53" t="n"/>
      <c r="AK6" s="53" t="n"/>
      <c r="AL6" s="53" t="n"/>
      <c r="AM6" s="53" t="n"/>
      <c r="AN6" s="53" t="n"/>
      <c r="AO6" s="53" t="n"/>
      <c r="AP6" s="53" t="n"/>
      <c r="AQ6" s="53" t="n"/>
      <c r="AR6" s="53" t="n"/>
      <c r="AS6" s="53" t="n"/>
      <c r="AT6" s="53" t="n"/>
      <c r="AU6" s="53" t="n"/>
      <c r="AV6" s="53" t="n"/>
      <c r="AW6" s="53" t="n"/>
      <c r="AX6" s="53" t="n"/>
      <c r="AY6" s="53" t="n"/>
      <c r="AZ6" s="53" t="n"/>
      <c r="BA6" s="53" t="n"/>
      <c r="BB6" s="54" t="n"/>
      <c r="BC6" s="26" t="inlineStr">
        <is>
          <t>APROBO:</t>
        </is>
      </c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7" t="n"/>
      <c r="BO6" s="25" t="inlineStr">
        <is>
          <t>H.ROSERO</t>
        </is>
      </c>
      <c r="BP6" s="48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</row>
    <row r="7" ht="15" customHeight="1"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41" t="inlineStr">
        <is>
          <t>Elaborado por:</t>
        </is>
      </c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5" t="n"/>
      <c r="AF21" s="41" t="inlineStr">
        <is>
          <t>Revisado por:</t>
        </is>
      </c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5" t="n"/>
      <c r="AT21" s="41" t="inlineStr">
        <is>
          <t>Aprobado por:</t>
        </is>
      </c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5" t="n"/>
    </row>
    <row r="22" ht="15" customHeight="1"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50" t="n"/>
      <c r="AE22" s="51" t="n"/>
      <c r="AF22" s="50" t="n"/>
      <c r="AS22" s="51" t="n"/>
      <c r="AT22" s="50" t="n"/>
      <c r="BG22" s="51" t="n"/>
    </row>
    <row r="23" ht="15" customHeight="1"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52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4" t="n"/>
      <c r="AF23" s="52" t="n"/>
      <c r="AG23" s="53" t="n"/>
      <c r="AH23" s="53" t="n"/>
      <c r="AI23" s="53" t="n"/>
      <c r="AJ23" s="53" t="n"/>
      <c r="AK23" s="53" t="n"/>
      <c r="AL23" s="53" t="n"/>
      <c r="AM23" s="53" t="n"/>
      <c r="AN23" s="53" t="n"/>
      <c r="AO23" s="53" t="n"/>
      <c r="AP23" s="53" t="n"/>
      <c r="AQ23" s="53" t="n"/>
      <c r="AR23" s="53" t="n"/>
      <c r="AS23" s="54" t="n"/>
      <c r="AT23" s="52" t="n"/>
      <c r="AU23" s="53" t="n"/>
      <c r="AV23" s="53" t="n"/>
      <c r="AW23" s="53" t="n"/>
      <c r="AX23" s="53" t="n"/>
      <c r="AY23" s="53" t="n"/>
      <c r="AZ23" s="53" t="n"/>
      <c r="BA23" s="53" t="n"/>
      <c r="BB23" s="53" t="n"/>
      <c r="BC23" s="53" t="n"/>
      <c r="BD23" s="53" t="n"/>
      <c r="BE23" s="53" t="n"/>
      <c r="BF23" s="53" t="n"/>
      <c r="BG23" s="54" t="n"/>
    </row>
    <row r="24" ht="15" customHeight="1"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3" t="inlineStr">
        <is>
          <t>J.ARBOLEDA</t>
        </is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5" t="n"/>
      <c r="AF24" s="2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5" t="n"/>
      <c r="AT24" s="24" t="n"/>
      <c r="AU24" s="44" t="n"/>
      <c r="AV24" s="44" t="n"/>
      <c r="AW24" s="44" t="n"/>
      <c r="AX24" s="44" t="n"/>
      <c r="AY24" s="44" t="n"/>
      <c r="AZ24" s="44" t="n"/>
      <c r="BA24" s="44" t="n"/>
      <c r="BB24" s="44" t="n"/>
      <c r="BC24" s="44" t="n"/>
      <c r="BD24" s="44" t="n"/>
      <c r="BE24" s="44" t="n"/>
      <c r="BF24" s="44" t="n"/>
      <c r="BG24" s="45" t="n"/>
    </row>
    <row r="25" ht="15" customHeight="1"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50" t="n"/>
      <c r="AE25" s="51" t="n"/>
      <c r="AF25" s="50" t="n"/>
      <c r="AS25" s="51" t="n"/>
      <c r="AT25" s="50" t="n"/>
      <c r="BG25" s="51" t="n"/>
    </row>
    <row r="26" ht="15" customHeight="1"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52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4" t="n"/>
      <c r="AF26" s="52" t="n"/>
      <c r="AG26" s="53" t="n"/>
      <c r="AH26" s="53" t="n"/>
      <c r="AI26" s="53" t="n"/>
      <c r="AJ26" s="53" t="n"/>
      <c r="AK26" s="53" t="n"/>
      <c r="AL26" s="53" t="n"/>
      <c r="AM26" s="53" t="n"/>
      <c r="AN26" s="53" t="n"/>
      <c r="AO26" s="53" t="n"/>
      <c r="AP26" s="53" t="n"/>
      <c r="AQ26" s="53" t="n"/>
      <c r="AR26" s="53" t="n"/>
      <c r="AS26" s="54" t="n"/>
      <c r="AT26" s="52" t="n"/>
      <c r="AU26" s="53" t="n"/>
      <c r="AV26" s="53" t="n"/>
      <c r="AW26" s="53" t="n"/>
      <c r="AX26" s="53" t="n"/>
      <c r="AY26" s="53" t="n"/>
      <c r="AZ26" s="53" t="n"/>
      <c r="BA26" s="53" t="n"/>
      <c r="BB26" s="53" t="n"/>
      <c r="BC26" s="53" t="n"/>
      <c r="BD26" s="53" t="n"/>
      <c r="BE26" s="53" t="n"/>
      <c r="BF26" s="53" t="n"/>
      <c r="BG26" s="54" t="n"/>
    </row>
    <row r="27" ht="15" customHeight="1"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4">
        <f>"Fecha :"&amp;BO3</f>
        <v/>
      </c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5" t="n"/>
      <c r="AF27" s="24">
        <f>"Fecha :"&amp;CC1</f>
        <v/>
      </c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5" t="n"/>
      <c r="AT27" s="24">
        <f>"Fecha :"&amp;CC2</f>
        <v/>
      </c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  <c r="BF27" s="44" t="n"/>
      <c r="BG27" s="45" t="n"/>
    </row>
    <row r="28" ht="15" customHeight="1"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50" t="n"/>
      <c r="AE28" s="51" t="n"/>
      <c r="AF28" s="50" t="n"/>
      <c r="AS28" s="51" t="n"/>
      <c r="AT28" s="50" t="n"/>
      <c r="BG28" s="51" t="n"/>
    </row>
    <row r="29" ht="15" customHeight="1"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52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4" t="n"/>
      <c r="AF29" s="52" t="n"/>
      <c r="AG29" s="53" t="n"/>
      <c r="AH29" s="53" t="n"/>
      <c r="AI29" s="53" t="n"/>
      <c r="AJ29" s="53" t="n"/>
      <c r="AK29" s="53" t="n"/>
      <c r="AL29" s="53" t="n"/>
      <c r="AM29" s="53" t="n"/>
      <c r="AN29" s="53" t="n"/>
      <c r="AO29" s="53" t="n"/>
      <c r="AP29" s="53" t="n"/>
      <c r="AQ29" s="53" t="n"/>
      <c r="AR29" s="53" t="n"/>
      <c r="AS29" s="54" t="n"/>
      <c r="AT29" s="52" t="n"/>
      <c r="AU29" s="53" t="n"/>
      <c r="AV29" s="53" t="n"/>
      <c r="AW29" s="53" t="n"/>
      <c r="AX29" s="53" t="n"/>
      <c r="AY29" s="53" t="n"/>
      <c r="AZ29" s="53" t="n"/>
      <c r="BA29" s="53" t="n"/>
      <c r="BB29" s="53" t="n"/>
      <c r="BC29" s="53" t="n"/>
      <c r="BD29" s="53" t="n"/>
      <c r="BE29" s="53" t="n"/>
      <c r="BF29" s="53" t="n"/>
      <c r="BG29" s="54" t="n"/>
    </row>
    <row r="30" ht="15" customHeight="1"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G39" s="21" t="n"/>
      <c r="H39" s="21" t="n"/>
      <c r="I39" s="21" t="n"/>
      <c r="J39" s="21" t="n"/>
      <c r="K39" s="21" t="n"/>
      <c r="L39" s="21" t="n"/>
      <c r="M39" s="21" t="n"/>
      <c r="N39" s="21" t="n"/>
      <c r="O39" s="42" t="inlineStr">
        <is>
          <t>Versión</t>
        </is>
      </c>
      <c r="P39" s="44" t="n"/>
      <c r="Q39" s="44" t="n"/>
      <c r="R39" s="44" t="n"/>
      <c r="S39" s="44" t="n"/>
      <c r="T39" s="44" t="n"/>
      <c r="U39" s="45" t="n"/>
      <c r="V39" s="42" t="inlineStr">
        <is>
          <t>Autor</t>
        </is>
      </c>
      <c r="W39" s="44" t="n"/>
      <c r="X39" s="44" t="n"/>
      <c r="Y39" s="44" t="n"/>
      <c r="Z39" s="44" t="n"/>
      <c r="AA39" s="44" t="n"/>
      <c r="AB39" s="45" t="n"/>
      <c r="AC39" s="43" t="inlineStr">
        <is>
          <t>Descripción</t>
        </is>
      </c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5" t="n"/>
      <c r="AP39" s="42" t="inlineStr">
        <is>
          <t>Fecha de elaboración</t>
        </is>
      </c>
      <c r="AQ39" s="44" t="n"/>
      <c r="AR39" s="44" t="n"/>
      <c r="AS39" s="44" t="n"/>
      <c r="AT39" s="44" t="n"/>
      <c r="AU39" s="44" t="n"/>
      <c r="AV39" s="45" t="n"/>
      <c r="AW39" s="42" t="inlineStr">
        <is>
          <t>Fecha de revisión</t>
        </is>
      </c>
      <c r="AX39" s="44" t="n"/>
      <c r="AY39" s="44" t="n"/>
      <c r="AZ39" s="44" t="n"/>
      <c r="BA39" s="44" t="n"/>
      <c r="BB39" s="44" t="n"/>
      <c r="BC39" s="45" t="n"/>
      <c r="BD39" s="42" t="inlineStr">
        <is>
          <t>Revisado por</t>
        </is>
      </c>
      <c r="BE39" s="44" t="n"/>
      <c r="BF39" s="44" t="n"/>
      <c r="BG39" s="44" t="n"/>
      <c r="BH39" s="44" t="n"/>
      <c r="BI39" s="44" t="n"/>
      <c r="BJ39" s="45" t="n"/>
    </row>
    <row r="40" ht="15" customHeight="1">
      <c r="G40" s="21" t="n"/>
      <c r="H40" s="21" t="n"/>
      <c r="I40" s="21" t="n"/>
      <c r="J40" s="21" t="n"/>
      <c r="K40" s="21" t="n"/>
      <c r="L40" s="21" t="n"/>
      <c r="M40" s="21" t="n"/>
      <c r="N40" s="21" t="n"/>
      <c r="O40" s="50" t="n"/>
      <c r="U40" s="51" t="n"/>
      <c r="V40" s="50" t="n"/>
      <c r="AB40" s="51" t="n"/>
      <c r="AC40" s="50" t="n"/>
      <c r="AO40" s="51" t="n"/>
      <c r="AP40" s="50" t="n"/>
      <c r="AV40" s="51" t="n"/>
      <c r="AW40" s="50" t="n"/>
      <c r="BC40" s="51" t="n"/>
      <c r="BD40" s="50" t="n"/>
      <c r="BJ40" s="51" t="n"/>
    </row>
    <row r="41" ht="15" customHeight="1">
      <c r="G41" s="21" t="n"/>
      <c r="H41" s="21" t="n"/>
      <c r="I41" s="21" t="n"/>
      <c r="J41" s="21" t="n"/>
      <c r="K41" s="21" t="n"/>
      <c r="L41" s="21" t="n"/>
      <c r="M41" s="21" t="n"/>
      <c r="N41" s="21" t="n"/>
      <c r="O41" s="52" t="n"/>
      <c r="P41" s="53" t="n"/>
      <c r="Q41" s="53" t="n"/>
      <c r="R41" s="53" t="n"/>
      <c r="S41" s="53" t="n"/>
      <c r="T41" s="53" t="n"/>
      <c r="U41" s="54" t="n"/>
      <c r="V41" s="52" t="n"/>
      <c r="W41" s="53" t="n"/>
      <c r="X41" s="53" t="n"/>
      <c r="Y41" s="53" t="n"/>
      <c r="Z41" s="53" t="n"/>
      <c r="AA41" s="53" t="n"/>
      <c r="AB41" s="54" t="n"/>
      <c r="AC41" s="52" t="n"/>
      <c r="AD41" s="53" t="n"/>
      <c r="AE41" s="53" t="n"/>
      <c r="AF41" s="53" t="n"/>
      <c r="AG41" s="53" t="n"/>
      <c r="AH41" s="53" t="n"/>
      <c r="AI41" s="53" t="n"/>
      <c r="AJ41" s="53" t="n"/>
      <c r="AK41" s="53" t="n"/>
      <c r="AL41" s="53" t="n"/>
      <c r="AM41" s="53" t="n"/>
      <c r="AN41" s="53" t="n"/>
      <c r="AO41" s="54" t="n"/>
      <c r="AP41" s="52" t="n"/>
      <c r="AQ41" s="53" t="n"/>
      <c r="AR41" s="53" t="n"/>
      <c r="AS41" s="53" t="n"/>
      <c r="AT41" s="53" t="n"/>
      <c r="AU41" s="53" t="n"/>
      <c r="AV41" s="54" t="n"/>
      <c r="AW41" s="52" t="n"/>
      <c r="AX41" s="53" t="n"/>
      <c r="AY41" s="53" t="n"/>
      <c r="AZ41" s="53" t="n"/>
      <c r="BA41" s="53" t="n"/>
      <c r="BB41" s="53" t="n"/>
      <c r="BC41" s="54" t="n"/>
      <c r="BD41" s="52" t="n"/>
      <c r="BE41" s="53" t="n"/>
      <c r="BF41" s="53" t="n"/>
      <c r="BG41" s="53" t="n"/>
      <c r="BH41" s="53" t="n"/>
      <c r="BI41" s="53" t="n"/>
      <c r="BJ41" s="54" t="n"/>
    </row>
    <row r="42" ht="15" customHeight="1">
      <c r="G42" s="21" t="n"/>
      <c r="H42" s="21" t="n"/>
      <c r="I42" s="21" t="n"/>
      <c r="J42" s="21" t="n"/>
      <c r="K42" s="21" t="n"/>
      <c r="L42" s="21" t="n"/>
      <c r="M42" s="21" t="n"/>
      <c r="N42" s="21" t="n"/>
      <c r="O42" s="37" t="inlineStr">
        <is>
          <t>CERO (0)</t>
        </is>
      </c>
      <c r="P42" s="44" t="n"/>
      <c r="Q42" s="44" t="n"/>
      <c r="R42" s="44" t="n"/>
      <c r="S42" s="44" t="n"/>
      <c r="T42" s="44" t="n"/>
      <c r="U42" s="45" t="n"/>
      <c r="V42" s="37" t="inlineStr">
        <is>
          <t>J.ARBOLEDA</t>
        </is>
      </c>
      <c r="W42" s="44" t="n"/>
      <c r="X42" s="44" t="n"/>
      <c r="Y42" s="44" t="n"/>
      <c r="Z42" s="44" t="n"/>
      <c r="AA42" s="44" t="n"/>
      <c r="AB42" s="45" t="n"/>
      <c r="AC42" s="38" t="inlineStr">
        <is>
          <t>Emitido para cotizacion</t>
        </is>
      </c>
      <c r="AD42" s="44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5" t="n"/>
      <c r="AP42" s="39">
        <f>BO3</f>
        <v/>
      </c>
      <c r="AQ42" s="44" t="n"/>
      <c r="AR42" s="44" t="n"/>
      <c r="AS42" s="44" t="n"/>
      <c r="AT42" s="44" t="n"/>
      <c r="AU42" s="44" t="n"/>
      <c r="AV42" s="45" t="n"/>
      <c r="AW42" s="39">
        <f>AT27</f>
        <v/>
      </c>
      <c r="AX42" s="44" t="n"/>
      <c r="AY42" s="44" t="n"/>
      <c r="AZ42" s="44" t="n"/>
      <c r="BA42" s="44" t="n"/>
      <c r="BB42" s="44" t="n"/>
      <c r="BC42" s="45" t="n"/>
      <c r="BD42" s="40">
        <f>BO5</f>
        <v/>
      </c>
      <c r="BE42" s="44" t="n"/>
      <c r="BF42" s="44" t="n"/>
      <c r="BG42" s="44" t="n"/>
      <c r="BH42" s="44" t="n"/>
      <c r="BI42" s="44" t="n"/>
      <c r="BJ42" s="45" t="n"/>
    </row>
    <row r="43" ht="15" customHeight="1">
      <c r="G43" s="21" t="n"/>
      <c r="H43" s="21" t="n"/>
      <c r="I43" s="21" t="n"/>
      <c r="J43" s="21" t="n"/>
      <c r="K43" s="21" t="n"/>
      <c r="L43" s="21" t="n"/>
      <c r="M43" s="21" t="n"/>
      <c r="N43" s="21" t="n"/>
      <c r="O43" s="50" t="n"/>
      <c r="U43" s="51" t="n"/>
      <c r="V43" s="50" t="n"/>
      <c r="AB43" s="51" t="n"/>
      <c r="AC43" s="50" t="n"/>
      <c r="AO43" s="51" t="n"/>
      <c r="AP43" s="50" t="n"/>
      <c r="AV43" s="51" t="n"/>
      <c r="AW43" s="50" t="n"/>
      <c r="BC43" s="51" t="n"/>
      <c r="BD43" s="50" t="n"/>
      <c r="BJ43" s="51" t="n"/>
      <c r="BP43" s="21" t="n"/>
    </row>
    <row r="44" ht="15" customHeight="1">
      <c r="G44" s="21" t="n"/>
      <c r="H44" s="21" t="n"/>
      <c r="I44" s="21" t="n"/>
      <c r="J44" s="21" t="n"/>
      <c r="K44" s="21" t="n"/>
      <c r="L44" s="21" t="n"/>
      <c r="M44" s="21" t="n"/>
      <c r="N44" s="21" t="n"/>
      <c r="O44" s="52" t="n"/>
      <c r="P44" s="53" t="n"/>
      <c r="Q44" s="53" t="n"/>
      <c r="R44" s="53" t="n"/>
      <c r="S44" s="53" t="n"/>
      <c r="T44" s="53" t="n"/>
      <c r="U44" s="54" t="n"/>
      <c r="V44" s="52" t="n"/>
      <c r="W44" s="53" t="n"/>
      <c r="X44" s="53" t="n"/>
      <c r="Y44" s="53" t="n"/>
      <c r="Z44" s="53" t="n"/>
      <c r="AA44" s="53" t="n"/>
      <c r="AB44" s="54" t="n"/>
      <c r="AC44" s="52" t="n"/>
      <c r="AD44" s="53" t="n"/>
      <c r="AE44" s="53" t="n"/>
      <c r="AF44" s="53" t="n"/>
      <c r="AG44" s="53" t="n"/>
      <c r="AH44" s="53" t="n"/>
      <c r="AI44" s="53" t="n"/>
      <c r="AJ44" s="53" t="n"/>
      <c r="AK44" s="53" t="n"/>
      <c r="AL44" s="53" t="n"/>
      <c r="AM44" s="53" t="n"/>
      <c r="AN44" s="53" t="n"/>
      <c r="AO44" s="54" t="n"/>
      <c r="AP44" s="52" t="n"/>
      <c r="AQ44" s="53" t="n"/>
      <c r="AR44" s="53" t="n"/>
      <c r="AS44" s="53" t="n"/>
      <c r="AT44" s="53" t="n"/>
      <c r="AU44" s="53" t="n"/>
      <c r="AV44" s="54" t="n"/>
      <c r="AW44" s="52" t="n"/>
      <c r="AX44" s="53" t="n"/>
      <c r="AY44" s="53" t="n"/>
      <c r="AZ44" s="53" t="n"/>
      <c r="BA44" s="53" t="n"/>
      <c r="BB44" s="53" t="n"/>
      <c r="BC44" s="54" t="n"/>
      <c r="BD44" s="52" t="n"/>
      <c r="BE44" s="53" t="n"/>
      <c r="BF44" s="53" t="n"/>
      <c r="BG44" s="53" t="n"/>
      <c r="BH44" s="53" t="n"/>
      <c r="BI44" s="53" t="n"/>
      <c r="BJ44" s="54" t="n"/>
    </row>
    <row r="45" ht="15" customHeight="1">
      <c r="G45" s="21" t="n"/>
      <c r="H45" s="21" t="n"/>
      <c r="I45" s="21" t="n"/>
      <c r="J45" s="21" t="n"/>
      <c r="K45" s="21" t="n"/>
      <c r="L45" s="21" t="n"/>
      <c r="M45" s="21" t="n"/>
      <c r="N45" s="21" t="n"/>
      <c r="O45" s="20" t="n"/>
      <c r="P45" s="44" t="n"/>
      <c r="Q45" s="44" t="n"/>
      <c r="R45" s="44" t="n"/>
      <c r="S45" s="44" t="n"/>
      <c r="T45" s="44" t="n"/>
      <c r="U45" s="45" t="n"/>
      <c r="V45" s="20" t="n"/>
      <c r="W45" s="44" t="n"/>
      <c r="X45" s="44" t="n"/>
      <c r="Y45" s="44" t="n"/>
      <c r="Z45" s="44" t="n"/>
      <c r="AA45" s="44" t="n"/>
      <c r="AB45" s="45" t="n"/>
      <c r="AC45" s="22" t="n"/>
      <c r="AD45" s="44" t="n"/>
      <c r="AE45" s="44" t="n"/>
      <c r="AF45" s="44" t="n"/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5" t="n"/>
      <c r="AP45" s="20" t="n"/>
      <c r="AQ45" s="44" t="n"/>
      <c r="AR45" s="44" t="n"/>
      <c r="AS45" s="44" t="n"/>
      <c r="AT45" s="44" t="n"/>
      <c r="AU45" s="44" t="n"/>
      <c r="AV45" s="45" t="n"/>
      <c r="AW45" s="20" t="n"/>
      <c r="AX45" s="44" t="n"/>
      <c r="AY45" s="44" t="n"/>
      <c r="AZ45" s="44" t="n"/>
      <c r="BA45" s="44" t="n"/>
      <c r="BB45" s="44" t="n"/>
      <c r="BC45" s="45" t="n"/>
      <c r="BD45" s="20" t="n"/>
      <c r="BE45" s="44" t="n"/>
      <c r="BF45" s="44" t="n"/>
      <c r="BG45" s="44" t="n"/>
      <c r="BH45" s="44" t="n"/>
      <c r="BI45" s="44" t="n"/>
      <c r="BJ45" s="45" t="n"/>
    </row>
    <row r="46" ht="15" customHeight="1">
      <c r="G46" s="21" t="n"/>
      <c r="H46" s="21" t="n"/>
      <c r="I46" s="21" t="n"/>
      <c r="J46" s="21" t="n"/>
      <c r="K46" s="21" t="n"/>
      <c r="L46" s="21" t="n"/>
      <c r="M46" s="21" t="n"/>
      <c r="N46" s="21" t="n"/>
      <c r="O46" s="50" t="n"/>
      <c r="U46" s="51" t="n"/>
      <c r="V46" s="50" t="n"/>
      <c r="AB46" s="51" t="n"/>
      <c r="AC46" s="50" t="n"/>
      <c r="AO46" s="51" t="n"/>
      <c r="AP46" s="50" t="n"/>
      <c r="AV46" s="51" t="n"/>
      <c r="AW46" s="50" t="n"/>
      <c r="BC46" s="51" t="n"/>
      <c r="BD46" s="50" t="n"/>
      <c r="BJ46" s="51" t="n"/>
    </row>
    <row r="47" ht="15" customHeight="1">
      <c r="G47" s="21" t="n"/>
      <c r="H47" s="21" t="n"/>
      <c r="I47" s="21" t="n"/>
      <c r="J47" s="21" t="n"/>
      <c r="K47" s="21" t="n"/>
      <c r="L47" s="21" t="n"/>
      <c r="M47" s="21" t="n"/>
      <c r="N47" s="21" t="n"/>
      <c r="O47" s="52" t="n"/>
      <c r="P47" s="53" t="n"/>
      <c r="Q47" s="53" t="n"/>
      <c r="R47" s="53" t="n"/>
      <c r="S47" s="53" t="n"/>
      <c r="T47" s="53" t="n"/>
      <c r="U47" s="54" t="n"/>
      <c r="V47" s="52" t="n"/>
      <c r="W47" s="53" t="n"/>
      <c r="X47" s="53" t="n"/>
      <c r="Y47" s="53" t="n"/>
      <c r="Z47" s="53" t="n"/>
      <c r="AA47" s="53" t="n"/>
      <c r="AB47" s="54" t="n"/>
      <c r="AC47" s="52" t="n"/>
      <c r="AD47" s="53" t="n"/>
      <c r="AE47" s="53" t="n"/>
      <c r="AF47" s="53" t="n"/>
      <c r="AG47" s="53" t="n"/>
      <c r="AH47" s="53" t="n"/>
      <c r="AI47" s="53" t="n"/>
      <c r="AJ47" s="53" t="n"/>
      <c r="AK47" s="53" t="n"/>
      <c r="AL47" s="53" t="n"/>
      <c r="AM47" s="53" t="n"/>
      <c r="AN47" s="53" t="n"/>
      <c r="AO47" s="54" t="n"/>
      <c r="AP47" s="52" t="n"/>
      <c r="AQ47" s="53" t="n"/>
      <c r="AR47" s="53" t="n"/>
      <c r="AS47" s="53" t="n"/>
      <c r="AT47" s="53" t="n"/>
      <c r="AU47" s="53" t="n"/>
      <c r="AV47" s="54" t="n"/>
      <c r="AW47" s="52" t="n"/>
      <c r="AX47" s="53" t="n"/>
      <c r="AY47" s="53" t="n"/>
      <c r="AZ47" s="53" t="n"/>
      <c r="BA47" s="53" t="n"/>
      <c r="BB47" s="53" t="n"/>
      <c r="BC47" s="54" t="n"/>
      <c r="BD47" s="52" t="n"/>
      <c r="BE47" s="53" t="n"/>
      <c r="BF47" s="53" t="n"/>
      <c r="BG47" s="53" t="n"/>
      <c r="BH47" s="53" t="n"/>
      <c r="BI47" s="53" t="n"/>
      <c r="BJ47" s="54" t="n"/>
    </row>
    <row r="48" ht="15" customHeight="1">
      <c r="O48" s="19" t="n"/>
      <c r="V48" s="19" t="n"/>
      <c r="AC48" s="19" t="n"/>
      <c r="AP48" s="19" t="n"/>
      <c r="AW48" s="19" t="n"/>
      <c r="BD48" s="19" t="n"/>
    </row>
    <row r="49" ht="15" customHeight="1"/>
    <row r="50" ht="15" customHeight="1"/>
    <row r="52" ht="15" customHeight="1"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4" ht="15" customHeight="1"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3"/>
  <sheetViews>
    <sheetView workbookViewId="0">
      <selection activeCell="A1" sqref="A1"/>
    </sheetView>
  </sheetViews>
  <sheetFormatPr baseColWidth="8" defaultRowHeight="15"/>
  <cols>
    <col width="30.6132812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9.25" customHeight="1">
      <c r="A1" s="35" t="n"/>
      <c r="B1" s="36" t="n"/>
      <c r="C1" s="35">
        <f>PORTADA!Z1</f>
        <v/>
      </c>
      <c r="D1" s="46" t="n"/>
      <c r="E1" s="46" t="n"/>
      <c r="F1" s="46" t="n"/>
      <c r="G1" s="46" t="n"/>
      <c r="H1" s="46" t="n"/>
      <c r="I1" s="46" t="n"/>
      <c r="J1" s="46" t="n"/>
      <c r="K1" s="46" t="n"/>
      <c r="L1" s="47" t="n"/>
      <c r="M1" s="12" t="inlineStr">
        <is>
          <t>CODIGO:</t>
        </is>
      </c>
      <c r="N1" s="32">
        <f>PORTADA!BO1</f>
        <v/>
      </c>
      <c r="O1" s="47" t="n"/>
    </row>
    <row r="2" ht="29.25" customHeight="1">
      <c r="A2" s="56" t="n"/>
      <c r="B2" s="56" t="n"/>
      <c r="C2" s="35">
        <f>PORTADA!Z3</f>
        <v/>
      </c>
      <c r="D2" s="44" t="n"/>
      <c r="E2" s="44" t="n"/>
      <c r="F2" s="44" t="n"/>
      <c r="G2" s="44" t="n"/>
      <c r="H2" s="44" t="n"/>
      <c r="I2" s="44" t="n"/>
      <c r="J2" s="44" t="n"/>
      <c r="K2" s="44" t="n"/>
      <c r="L2" s="45" t="n"/>
      <c r="M2" s="12" t="inlineStr">
        <is>
          <t>REVISION:</t>
        </is>
      </c>
      <c r="N2" s="32">
        <f>PORTADA!BO2</f>
        <v/>
      </c>
      <c r="O2" s="47" t="n"/>
    </row>
    <row r="3" ht="29.25" customHeight="1">
      <c r="A3" s="56" t="n"/>
      <c r="B3" s="56" t="n"/>
      <c r="C3" s="52" t="n"/>
      <c r="D3" s="53" t="n"/>
      <c r="E3" s="53" t="n"/>
      <c r="F3" s="53" t="n"/>
      <c r="G3" s="53" t="n"/>
      <c r="H3" s="53" t="n"/>
      <c r="I3" s="53" t="n"/>
      <c r="J3" s="53" t="n"/>
      <c r="K3" s="53" t="n"/>
      <c r="L3" s="54" t="n"/>
      <c r="M3" s="12" t="inlineStr">
        <is>
          <t>FECHA:</t>
        </is>
      </c>
      <c r="N3" s="32">
        <f>PORTADA!BO3</f>
        <v/>
      </c>
      <c r="O3" s="47" t="n"/>
    </row>
    <row r="4" ht="29.25" customHeight="1">
      <c r="A4" s="56" t="n"/>
      <c r="B4" s="56" t="n"/>
      <c r="C4" s="35">
        <f>PORTADA!Z5</f>
        <v/>
      </c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12" t="inlineStr">
        <is>
          <t>ELABORO:</t>
        </is>
      </c>
      <c r="N4" s="32">
        <f>PORTADA!BO4</f>
        <v/>
      </c>
      <c r="O4" s="47" t="n"/>
    </row>
    <row r="5" ht="29.25" customHeight="1">
      <c r="A5" s="57" t="n"/>
      <c r="B5" s="57" t="n"/>
      <c r="C5" s="50" t="n"/>
      <c r="L5" s="51" t="n"/>
      <c r="M5" s="12" t="inlineStr">
        <is>
          <t xml:space="preserve">REVISO:      </t>
        </is>
      </c>
      <c r="N5" s="32">
        <f>PORTADA!BO5</f>
        <v/>
      </c>
      <c r="O5" s="47" t="n"/>
    </row>
    <row r="6" ht="29.25" customHeight="1">
      <c r="A6" s="12" t="inlineStr">
        <is>
          <t>PROYECTO:</t>
        </is>
      </c>
      <c r="B6" s="35">
        <f>PORTADA!N6</f>
        <v/>
      </c>
      <c r="C6" s="52" t="n"/>
      <c r="D6" s="53" t="n"/>
      <c r="E6" s="53" t="n"/>
      <c r="F6" s="53" t="n"/>
      <c r="G6" s="53" t="n"/>
      <c r="H6" s="53" t="n"/>
      <c r="I6" s="53" t="n"/>
      <c r="J6" s="53" t="n"/>
      <c r="K6" s="53" t="n"/>
      <c r="L6" s="54" t="n"/>
      <c r="M6" s="12" t="inlineStr">
        <is>
          <t>APROBO:</t>
        </is>
      </c>
      <c r="N6" s="32">
        <f>PORTADA!BO6</f>
        <v/>
      </c>
      <c r="O6" s="47" t="n"/>
    </row>
    <row r="7" ht="25" customHeight="1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18" t="n">
        <v>6</v>
      </c>
      <c r="G7" s="18" t="n">
        <v>7</v>
      </c>
      <c r="H7" s="18" t="n">
        <v>8</v>
      </c>
      <c r="I7" s="18" t="n">
        <v>9</v>
      </c>
      <c r="J7" s="18" t="n">
        <v>10</v>
      </c>
      <c r="K7" s="18" t="n">
        <v>11</v>
      </c>
      <c r="L7" s="18" t="n">
        <v>12</v>
      </c>
      <c r="M7" s="18" t="n">
        <v>13</v>
      </c>
      <c r="N7" s="18" t="n">
        <v>14</v>
      </c>
      <c r="O7" s="18" t="n">
        <v>15</v>
      </c>
    </row>
    <row r="9">
      <c r="A9" s="58" t="inlineStr">
        <is>
          <t>Hoja de datos: instrumentos de presión diferencial y control de presurización</t>
        </is>
      </c>
    </row>
    <row r="10">
      <c r="A10" s="59" t="inlineStr">
        <is>
          <t>Campo</t>
        </is>
      </c>
      <c r="B10" s="59" t="inlineStr">
        <is>
          <t>Valor</t>
        </is>
      </c>
      <c r="C10" s="59" t="n"/>
      <c r="D10" s="59" t="n"/>
      <c r="E10" s="59" t="n"/>
      <c r="F10" s="59" t="n"/>
    </row>
    <row r="11">
      <c r="A11" s="60" t="inlineStr">
        <is>
          <t>Código</t>
        </is>
      </c>
      <c r="B11" s="60" t="inlineStr">
        <is>
          <t>HD-INST-001</t>
        </is>
      </c>
      <c r="C11" s="61" t="n"/>
      <c r="D11" s="61" t="n"/>
      <c r="E11" s="61" t="n"/>
      <c r="F11" s="61" t="n"/>
    </row>
    <row r="12">
      <c r="A12" s="60" t="inlineStr">
        <is>
          <t>Revisión</t>
        </is>
      </c>
      <c r="B12" s="60" t="inlineStr">
        <is>
          <t>0</t>
        </is>
      </c>
      <c r="C12" s="61" t="n"/>
      <c r="D12" s="61" t="n"/>
      <c r="E12" s="61" t="n"/>
      <c r="F12" s="61" t="n"/>
    </row>
    <row r="13">
      <c r="A13" s="60" t="inlineStr">
        <is>
          <t>Fecha</t>
        </is>
      </c>
      <c r="B13" s="60" t="inlineStr">
        <is>
          <t>2026-07-23</t>
        </is>
      </c>
      <c r="C13" s="61" t="n"/>
      <c r="D13" s="61" t="n"/>
      <c r="E13" s="61" t="n"/>
      <c r="F13" s="61" t="n"/>
    </row>
    <row r="14">
      <c r="A14" s="60" t="inlineStr">
        <is>
          <t>Proyecto</t>
        </is>
      </c>
      <c r="B14" s="60" t="inlineStr">
        <is>
          <t>P2437-HV-INF-001 — BRINSA, laboratorio de análisis industrial, Cajicá</t>
        </is>
      </c>
      <c r="C14" s="61" t="n"/>
      <c r="D14" s="61" t="n"/>
      <c r="E14" s="61" t="n"/>
      <c r="F14" s="61" t="n"/>
    </row>
    <row r="15">
      <c r="A15" s="60" t="inlineStr">
        <is>
          <t>Etiquetas</t>
        </is>
      </c>
      <c r="B15" s="60" t="inlineStr">
        <is>
          <t>PDT-001 (transmisor), PDI-001 (indicador local), PDSV-001 (damper de alivio barométrico)</t>
        </is>
      </c>
      <c r="C15" s="61" t="n"/>
      <c r="D15" s="61" t="n"/>
      <c r="E15" s="61" t="n"/>
      <c r="F15" s="61" t="n"/>
    </row>
    <row r="18">
      <c r="A18" s="62" t="inlineStr">
        <is>
          <t>1. Servicio</t>
        </is>
      </c>
    </row>
    <row r="19">
      <c r="A19" s="63" t="inlineStr">
        <is>
          <t>1.1. Medición, indicación, alarma y control pasivo de la presurización positiva del laboratorio: set-point +25 Pa, mínimo admisible +12.5 Pa, respecto a la referencia exterior. La referencia exterior queda expuesta a atmósfera clorada y viento; las tomas de impulso requieren protección (§5).</t>
        </is>
      </c>
    </row>
    <row r="20"/>
    <row r="21"/>
    <row r="22"/>
    <row r="24">
      <c r="A24" s="62" t="inlineStr">
        <is>
          <t>2. Arquitectura del lazo</t>
        </is>
      </c>
    </row>
    <row r="25">
      <c r="A25" s="63" t="inlineStr">
        <is>
          <t>2.1. Secuencia: el transmisor PDT-001 mide el diferencial interior–exterior y entrega 4-20 mA al PLC/BMS del cliente (o a relés autónomos); el indicador local PDI-001 permite verificación visual continua; el elemento final de control es el damper barométrico PDSV-001, cuyo contrapeso se calibra para abrir cuando el diferencial supera +25 Pa, descargando el exceso de caudal y estabilizando la presión de sala. Con filtro limpio (ΔP total 95 Pa en el sitio) el damper trabaja más abierto; con filtro cargado (190 Pa en el sitio) cierra y mantiene la consigna — compensación pasiva que hace al damper obligatorio (informe_investigacion.md §5.2).</t>
        </is>
      </c>
    </row>
    <row r="26"/>
    <row r="27"/>
    <row r="28"/>
    <row r="29"/>
    <row r="30"/>
    <row r="31"/>
    <row r="32"/>
    <row r="33"/>
    <row r="34">
      <c r="A34" s="63" t="inlineStr">
        <is>
          <t>2.2. El esquema corresponde al lazo documentado para presurización de edificios: sensor diferencial interior–exterior supervisando el elemento de alivio (Trane ADM-APN003 (https://www.trane.com/content/dam/Trane/Commercial/global/products-systems/education-training/engineers-newsletters/airside-design/admapn003en_0502.pdf), consulta 2026-07-23). Dado que el contrapeso actúa sobre diferencial de presión y no sobre caudal, el ajuste a +25 Pa es válido a la altitud del sitio; la posición de equilibrio cambia con la densidad, por lo que la calibración final se realiza en comisionamiento con micromanómetro (práctica documentada por Halton BRD (https://www.halton.com/app/uploads/2020/08/Halton-BRD-datasheet-2024.pdf), consulta 2026-07-23).</t>
        </is>
      </c>
    </row>
    <row r="35"/>
    <row r="36"/>
    <row r="37"/>
    <row r="38"/>
    <row r="39"/>
    <row r="40"/>
    <row r="41"/>
    <row r="42"/>
    <row r="43"/>
    <row r="44">
      <c r="A44" s="64" t="inlineStr">
        <is>
          <t>Tabla 1. Puntos de consigna y alarmas.</t>
        </is>
      </c>
    </row>
    <row r="45">
      <c r="A45" s="59" t="inlineStr">
        <is>
          <t>Parámetro</t>
        </is>
      </c>
      <c r="B45" s="59" t="inlineStr">
        <is>
          <t>Valor</t>
        </is>
      </c>
      <c r="C45" s="59" t="inlineStr">
        <is>
          <t>Acción</t>
        </is>
      </c>
      <c r="D45" s="59" t="n"/>
      <c r="E45" s="59" t="n"/>
      <c r="F45" s="59" t="n"/>
    </row>
    <row r="46">
      <c r="A46" s="60" t="inlineStr">
        <is>
          <t>Set-point de presurización</t>
        </is>
      </c>
      <c r="B46" s="60" t="inlineStr">
        <is>
          <t>+25 Pa</t>
        </is>
      </c>
      <c r="C46" s="60" t="inlineStr">
        <is>
          <t>Ajuste del contrapeso del damper PDSV-001</t>
        </is>
      </c>
      <c r="D46" s="61" t="n"/>
      <c r="E46" s="61" t="n"/>
      <c r="F46" s="61" t="n"/>
    </row>
    <row r="47">
      <c r="A47" s="60" t="inlineStr">
        <is>
          <t>Alarma baja</t>
        </is>
      </c>
      <c r="B47" s="60" t="inlineStr">
        <is>
          <t>+12.5 Pa</t>
        </is>
      </c>
      <c r="C47" s="60" t="inlineStr">
        <is>
          <t>Pérdida de presurización: riesgo de ingreso de insectos, polvo y cloro</t>
        </is>
      </c>
      <c r="D47" s="61" t="n"/>
      <c r="E47" s="61" t="n"/>
      <c r="F47" s="61" t="n"/>
    </row>
    <row r="48">
      <c r="A48" s="60" t="inlineStr">
        <is>
          <t>Alarma alta</t>
        </is>
      </c>
      <c r="B48" s="60" t="inlineStr">
        <is>
          <t>+40 Pa</t>
        </is>
      </c>
      <c r="C48" s="60" t="inlineStr">
        <is>
          <t>Damper atascado o falla de exfiltración (dato típico)</t>
        </is>
      </c>
      <c r="D48" s="61" t="n"/>
      <c r="E48" s="61" t="n"/>
      <c r="F48" s="61" t="n"/>
    </row>
    <row r="49">
      <c r="A49" s="60" t="inlineStr">
        <is>
          <t>Retardo de alarmas</t>
        </is>
      </c>
      <c r="B49" s="60" t="inlineStr">
        <is>
          <t>30-60 s</t>
        </is>
      </c>
      <c r="C49" s="60" t="inlineStr">
        <is>
          <t>Evita falsas alarmas por apertura de puerta (dato típico)</t>
        </is>
      </c>
      <c r="D49" s="61" t="n"/>
      <c r="E49" s="61" t="n"/>
      <c r="F49" s="61" t="n"/>
    </row>
    <row r="50">
      <c r="A50" s="60" t="inlineStr">
        <is>
          <t>Límite superior absoluto</t>
        </is>
      </c>
      <c r="B50" s="60" t="inlineStr">
        <is>
          <t>≈60 Pa</t>
        </is>
      </c>
      <c r="C50" s="60" t="inlineStr">
        <is>
          <t>Fuerza de apertura de puertas (referencia IBC 1009.3; dato típico)</t>
        </is>
      </c>
      <c r="D50" s="61" t="n"/>
      <c r="E50" s="61" t="n"/>
      <c r="F50" s="61" t="n"/>
    </row>
    <row r="52">
      <c r="A52" s="63" t="inlineStr">
        <is>
          <t>2.3. El lazo activo (variador de frecuencia o damper motorizado) solo se justifica con aperturas frecuentes de puerta o exigencia de registro BMS (AIVC airbase_7469 (PDF) (https://www.aivc.org/sites/default/files/airbase_7469.pdf), consulta 2026-07-23); para el set-point fijo de este proyecto se adopta la solución pasiva de máxima confiabilidad.</t>
        </is>
      </c>
    </row>
    <row r="53"/>
    <row r="54"/>
    <row r="55"/>
    <row r="56"/>
    <row r="58">
      <c r="A58" s="62" t="inlineStr">
        <is>
          <t>3. Transmisor de presión diferencial (PDT-001)</t>
        </is>
      </c>
    </row>
    <row r="59">
      <c r="A59" s="64" t="inlineStr">
        <is>
          <t>Tabla 2. Especificación y candidatos (consulta 2026-07-23).</t>
        </is>
      </c>
    </row>
    <row r="60">
      <c r="A60" s="59" t="inlineStr">
        <is>
          <t>Parámetro</t>
        </is>
      </c>
      <c r="B60" s="59" t="inlineStr">
        <is>
          <t>Especificación / candidatos</t>
        </is>
      </c>
      <c r="C60" s="59" t="n"/>
      <c r="D60" s="59" t="n"/>
      <c r="E60" s="59" t="n"/>
      <c r="F60" s="59" t="n"/>
    </row>
    <row r="61">
      <c r="A61" s="60" t="inlineStr">
        <is>
          <t>Rango</t>
        </is>
      </c>
      <c r="B61" s="60" t="inlineStr">
        <is>
          <t>0-62.5 Pa (0-0.25 in c.a.); set-point al 40 % de escala</t>
        </is>
      </c>
      <c r="C61" s="61" t="n"/>
      <c r="D61" s="61" t="n"/>
      <c r="E61" s="61" t="n"/>
      <c r="F61" s="61" t="n"/>
    </row>
    <row r="62">
      <c r="A62" s="60" t="inlineStr">
        <is>
          <t>Salida</t>
        </is>
      </c>
      <c r="B62" s="60" t="inlineStr">
        <is>
          <t>4-20 mA, 2 hilos</t>
        </is>
      </c>
      <c r="C62" s="61" t="n"/>
      <c r="D62" s="61" t="n"/>
      <c r="E62" s="61" t="n"/>
      <c r="F62" s="61" t="n"/>
    </row>
    <row r="63">
      <c r="A63" s="60" t="inlineStr">
        <is>
          <t>Precisión</t>
        </is>
      </c>
      <c r="B63" s="60" t="inlineStr">
        <is>
          <t>±1 % FS o mejor</t>
        </is>
      </c>
      <c r="C63" s="61" t="n"/>
      <c r="D63" s="61" t="n"/>
      <c r="E63" s="61" t="n"/>
      <c r="F63" s="61" t="n"/>
    </row>
    <row r="64">
      <c r="A64" s="60" t="inlineStr">
        <is>
          <t>Protección</t>
        </is>
      </c>
      <c r="B64" s="60" t="inlineStr">
        <is>
          <t>NEMA 4X (IP66); montaje en interior, toma exterior protegida</t>
        </is>
      </c>
      <c r="C64" s="61" t="n"/>
      <c r="D64" s="61" t="n"/>
      <c r="E64" s="61" t="n"/>
      <c r="F64" s="61" t="n"/>
    </row>
    <row r="65">
      <c r="A65" s="60" t="inlineStr">
        <is>
          <t>Constante de tiempo</t>
        </is>
      </c>
      <c r="B65" s="60" t="inlineStr">
        <is>
          <t>Ajustable 0.5-15 s (amortigua ráfagas de viento en la referencia)</t>
        </is>
      </c>
      <c r="C65" s="61" t="n"/>
      <c r="D65" s="61" t="n"/>
      <c r="E65" s="61" t="n"/>
      <c r="F65" s="61" t="n"/>
    </row>
    <row r="66">
      <c r="A66" s="60" t="inlineStr">
        <is>
          <t>Primera opción</t>
        </is>
      </c>
      <c r="B66" s="60" t="inlineStr">
        <is>
          <t>Dwyer MS-121(-LCD) Magnesense: rangos seleccionables 25/62.5/125 Pa, ±1 % FS, NEMA 4X (catálogo (PDF) (https://www.transcat.com/media/pdf/MS_cat.pdf))</t>
        </is>
      </c>
      <c r="C66" s="61" t="n"/>
      <c r="D66" s="61" t="n"/>
      <c r="E66" s="61" t="n"/>
      <c r="F66" s="61" t="n"/>
    </row>
    <row r="67">
      <c r="A67" s="60" t="inlineStr">
        <is>
          <t>Alternativa premium</t>
        </is>
      </c>
      <c r="B67" s="60" t="inlineStr">
        <is>
          <t>Setra 264, rango 0-0.25 in c.a., ±0.25/±0.4/±1 % FS, elemento capacitivo inox (datasheet (PDF) (https://www.setra.com/hubfs/Product_Data_Sheets/Setra_Model_264_Data_Sheet.pdf)); suministro por importación, por confirmar stock</t>
        </is>
      </c>
      <c r="C67" s="61" t="n"/>
      <c r="D67" s="61" t="n"/>
      <c r="E67" s="61" t="n"/>
      <c r="F67" s="61" t="n"/>
    </row>
    <row r="68">
      <c r="A68" s="60" t="inlineStr">
        <is>
          <t>Alternativa BMS Siemens</t>
        </is>
      </c>
      <c r="B68" s="60" t="inlineStr">
        <is>
          <t>Siemens QBM2130-1U, 0-100 Pa, 4-20 mA, IP42 (exige gabinete adicional) (Industry Mall (https://mall.industry.siemens.com/mall/en/WW/Catalog/Products/10510770))</t>
        </is>
      </c>
      <c r="C68" s="61" t="n"/>
      <c r="D68" s="61" t="n"/>
      <c r="E68" s="61" t="n"/>
      <c r="F68" s="61" t="n"/>
    </row>
    <row r="71">
      <c r="A71" s="62" t="inlineStr">
        <is>
          <t>4. Indicador local (PDI-001)</t>
        </is>
      </c>
    </row>
    <row r="72">
      <c r="A72" s="64" t="inlineStr">
        <is>
          <t>Tabla 3. Especificación del manómetro diferencial (consulta 2026-07-23).</t>
        </is>
      </c>
    </row>
    <row r="73">
      <c r="A73" s="59" t="inlineStr">
        <is>
          <t>Parámetro</t>
        </is>
      </c>
      <c r="B73" s="59" t="inlineStr">
        <is>
          <t>Especificación</t>
        </is>
      </c>
      <c r="C73" s="59" t="n"/>
      <c r="D73" s="59" t="n"/>
      <c r="E73" s="59" t="n"/>
      <c r="F73" s="59" t="n"/>
    </row>
    <row r="74">
      <c r="A74" s="60" t="inlineStr">
        <is>
          <t>Modelo de referencia</t>
        </is>
      </c>
      <c r="B74" s="60" t="inlineStr">
        <is>
          <t>Dwyer Magnehelic serie 2000, modelo 2000-00</t>
        </is>
      </c>
      <c r="C74" s="61" t="n"/>
      <c r="D74" s="61" t="n"/>
      <c r="E74" s="61" t="n"/>
      <c r="F74" s="61" t="n"/>
    </row>
    <row r="75">
      <c r="A75" s="60" t="inlineStr">
        <is>
          <t>Rango</t>
        </is>
      </c>
      <c r="B75" s="60" t="inlineStr">
        <is>
          <t>0-62 Pa (0-0.25 in c.a.); división menor 0.005 in c.a.</t>
        </is>
      </c>
      <c r="C75" s="61" t="n"/>
      <c r="D75" s="61" t="n"/>
      <c r="E75" s="61" t="n"/>
      <c r="F75" s="61" t="n"/>
    </row>
    <row r="76">
      <c r="A76" s="60" t="inlineStr">
        <is>
          <t>Precisión</t>
        </is>
      </c>
      <c r="B76" s="60" t="inlineStr">
        <is>
          <t>±2 % FS</t>
        </is>
      </c>
      <c r="C76" s="61" t="n"/>
      <c r="D76" s="61" t="n"/>
      <c r="E76" s="61" t="n"/>
      <c r="F76" s="61" t="n"/>
    </row>
    <row r="77">
      <c r="A77" s="60" t="inlineStr">
        <is>
          <t>Construcción</t>
        </is>
      </c>
      <c r="B77" s="60" t="inlineStr">
        <is>
          <t>Caja aluminio fundido (ensayo niebla salina 168 h); opción bisel inox (-SS); conexiones 1/8 in NPT</t>
        </is>
      </c>
      <c r="C77" s="61" t="n"/>
      <c r="D77" s="61" t="n"/>
      <c r="E77" s="61" t="n"/>
      <c r="F77" s="61" t="n"/>
    </row>
    <row r="78">
      <c r="A78" s="60" t="inlineStr">
        <is>
          <t>Montaje</t>
        </is>
      </c>
      <c r="B78" s="60" t="inlineStr">
        <is>
          <t>Embutido en panel/puerta del laboratorio (interior)</t>
        </is>
      </c>
      <c r="C78" s="61" t="n"/>
      <c r="D78" s="61" t="n"/>
      <c r="E78" s="61" t="n"/>
      <c r="F78" s="61" t="n"/>
    </row>
    <row r="79">
      <c r="A79" s="60" t="inlineStr">
        <is>
          <t>Fuente</t>
        </is>
      </c>
      <c r="B79" s="60" t="inlineStr">
        <is>
          <t>Skilltech — tabla serie 2000 (https://skilltech.com.br/produto/manometro-para-pressao-diferencial-magnehelic-serie-2000/)</t>
        </is>
      </c>
      <c r="C79" s="61" t="n"/>
      <c r="D79" s="61" t="n"/>
      <c r="E79" s="61" t="n"/>
      <c r="F79" s="61" t="n"/>
    </row>
    <row r="81">
      <c r="A81" s="63" t="inlineStr">
        <is>
          <t>4.1. Si el cliente no dispone de PLC, se sustituye/complementa con Dwyer Photohelic 3000MR-00AV (indicador + 2 relés SPDT, rango 0-0.25 in c.a.; Northeast Controls (https://nciweb.net/pressure1.htm), consulta 2026-07-23), que genera las alarmas de la Tabla 1 de forma autónoma.</t>
        </is>
      </c>
    </row>
    <row r="82"/>
    <row r="83"/>
    <row r="84"/>
    <row r="86">
      <c r="A86" s="62" t="inlineStr">
        <is>
          <t>5. Damper de alivio barométrico (PDSV-001)</t>
        </is>
      </c>
    </row>
    <row r="87">
      <c r="A87" s="64" t="inlineStr">
        <is>
          <t>Tabla 4. Especificación y candidatos (consulta 2026-07-23).</t>
        </is>
      </c>
    </row>
    <row r="88">
      <c r="A88" s="59" t="inlineStr">
        <is>
          <t>Parámetro</t>
        </is>
      </c>
      <c r="B88" s="59" t="inlineStr">
        <is>
          <t>Especificación / candidatos</t>
        </is>
      </c>
      <c r="C88" s="59" t="n"/>
      <c r="D88" s="59" t="n"/>
      <c r="E88" s="59" t="n"/>
      <c r="F88" s="59" t="n"/>
    </row>
    <row r="89">
      <c r="A89" s="60" t="inlineStr">
        <is>
          <t>Tipo</t>
        </is>
      </c>
      <c r="B89" s="60" t="inlineStr">
        <is>
          <t>Barométrico de alivio, contrapeso ajustable, cierre por gravedad</t>
        </is>
      </c>
      <c r="C89" s="61" t="n"/>
      <c r="D89" s="61" t="n"/>
      <c r="E89" s="61" t="n"/>
      <c r="F89" s="61" t="n"/>
    </row>
    <row r="90">
      <c r="A90" s="60" t="inlineStr">
        <is>
          <t>Rango de ajuste start-open</t>
        </is>
      </c>
      <c r="B90" s="60" t="inlineStr">
        <is>
          <t>12-75 Pa (0.05-0.30 in c.a.), que cubre el set-point de +25 Pa</t>
        </is>
      </c>
      <c r="C90" s="61" t="n"/>
      <c r="D90" s="61" t="n"/>
      <c r="E90" s="61" t="n"/>
      <c r="F90" s="61" t="n"/>
    </row>
    <row r="91">
      <c r="A91" s="60" t="inlineStr">
        <is>
          <t>Materiales</t>
        </is>
      </c>
      <c r="B91" s="60" t="inlineStr">
        <is>
          <t>Aluminio extruido 6063-T5 o línea severe-environment; galvanizado descartado</t>
        </is>
      </c>
      <c r="C91" s="61" t="n"/>
      <c r="D91" s="61" t="n"/>
      <c r="E91" s="61" t="n"/>
      <c r="F91" s="61" t="n"/>
    </row>
    <row r="92">
      <c r="A92" s="60" t="inlineStr">
        <is>
          <t>Dimensionamiento</t>
        </is>
      </c>
      <c r="B92" s="60" t="inlineStr">
        <is>
          <t>Caudal de alivio de diseño con velocidad facial ≤ 2.5 m/s (dato típico); tamaño final por confirmar con proveedor</t>
        </is>
      </c>
      <c r="C92" s="61" t="n"/>
      <c r="D92" s="61" t="n"/>
      <c r="E92" s="61" t="n"/>
      <c r="F92" s="61" t="n"/>
    </row>
    <row r="93">
      <c r="A93" s="60" t="inlineStr">
        <is>
          <t>Ensayos</t>
        </is>
      </c>
      <c r="B93" s="60" t="inlineStr">
        <is>
          <t>AMCA 500-D (caída de presión y fuga)</t>
        </is>
      </c>
      <c r="C93" s="61" t="n"/>
      <c r="D93" s="61" t="n"/>
      <c r="E93" s="61" t="n"/>
      <c r="F93" s="61" t="n"/>
    </row>
    <row r="94">
      <c r="A94" s="60" t="inlineStr">
        <is>
          <t>Calibración</t>
        </is>
      </c>
      <c r="B94" s="60" t="inlineStr">
        <is>
          <t>En comisionamiento, con micromanómetro, a +25 Pa</t>
        </is>
      </c>
      <c r="C94" s="61" t="n"/>
      <c r="D94" s="61" t="n"/>
      <c r="E94" s="61" t="n"/>
      <c r="F94" s="61" t="n"/>
    </row>
    <row r="95">
      <c r="A95" s="60" t="inlineStr">
        <is>
          <t>Primera opción</t>
        </is>
      </c>
      <c r="B95" s="60" t="inlineStr">
        <is>
          <t>Greenheck SEBR-10 (severe environment; rango 0.05-0.30 in c.a.) (submittal (PDF) (https://content.greenheck.com/public/DAMProd/Original/10002/SEBR10Series_submittal.pdf)); canal Greenheck en Bogotá</t>
        </is>
      </c>
      <c r="C95" s="61" t="n"/>
      <c r="D95" s="61" t="n"/>
      <c r="E95" s="61" t="n"/>
      <c r="F95" s="61" t="n"/>
    </row>
    <row r="96">
      <c r="A96" s="60" t="inlineStr">
        <is>
          <t>Alternativa</t>
        </is>
      </c>
      <c r="B96" s="60" t="inlineStr">
        <is>
          <t>Ruskin CBD6/BD6 (aluminio 6063-T5, control hasta 0.25 in c.a.) (Ruskin BD6 (https://www.ruskin.com/model/bd6))</t>
        </is>
      </c>
      <c r="C96" s="61" t="n"/>
      <c r="D96" s="61" t="n"/>
      <c r="E96" s="61" t="n"/>
      <c r="F96" s="61" t="n"/>
    </row>
    <row r="97">
      <c r="A97" s="60" t="inlineStr">
        <is>
          <t>Alternativa</t>
        </is>
      </c>
      <c r="B97" s="60" t="inlineStr">
        <is>
          <t>Nailor 1390CB-EAF (contrapeso 360°, rodamientos de bolas para diferenciales muy bajos, opción aluminio) (submittal (PDF) (https://nailor.com/sites/default/files/documents/1390CB_B_0_0.pdf))</t>
        </is>
      </c>
      <c r="C97" s="61" t="n"/>
      <c r="D97" s="61" t="n"/>
      <c r="E97" s="61" t="n"/>
      <c r="F97" s="61" t="n"/>
    </row>
    <row r="100">
      <c r="A100" s="62" t="inlineStr">
        <is>
          <t>6. Tomas de impulso, montaje y accesorios</t>
        </is>
      </c>
    </row>
    <row r="101">
      <c r="A101" s="63" t="inlineStr">
        <is>
          <t>6.1. Toma de referencia exterior: caja estática de pared (tipo Dwyer A-417 o fabricación local inox 316, dato típico), orientada a sotavento, con purga o filtro de membrana por el ambiente clorado; tubería de impulso y conexiones 1/8 in NPT con sellante compatible.</t>
        </is>
      </c>
    </row>
    <row r="102"/>
    <row r="103"/>
    <row r="104"/>
    <row r="105">
      <c r="A105" s="63" t="inlineStr">
        <is>
          <t>6.2. Los instrumentos (cuerpos de aluminio fundido) se instalan en el interior de la sala o en gabinete IP66 con prensaestopas niquelados/inox; los herrajes estándar zincados se reemplazan por soportes fabricados en inox 316. Cableado de la señal 4-20 mA apantallado; protecciones y tablero conforme a RETIE/NTC 2050 (listado_equipos.md, ítems 16-17).</t>
        </is>
      </c>
    </row>
    <row r="106"/>
    <row r="107"/>
    <row r="108"/>
    <row r="109"/>
    <row r="111">
      <c r="A111" s="62" t="inlineStr">
        <is>
          <t>7. Disponibilidad en Colombia</t>
        </is>
      </c>
    </row>
    <row r="112">
      <c r="A112" s="63" t="inlineStr">
        <is>
          <t>7.1. Dwyer: Vía Industrial (Bogotá/Cali, viaindustrial.com (https://www.viaindustrial.com/dwyer/marca/)), RS Importaciones y Suministros (Bogotá, rsimportacionesysuministros.com.co (https://rsimportacionesysuministros.com.co/producto/transmisor-magnehelic-dwyer-instruments-a/)), SICO Global (sico.global (https://sico.global/productos/transmisor-medidor-de-presion-diferencial-dwyer-magnehelic-605/)) — consulta 2026-07-23. Setra y los dampers Nailor/Ruskin se gestionan por importación o representante (por confirmar); Greenheck vía Prime Lines HVAC, Bogotá.</t>
        </is>
      </c>
    </row>
    <row r="113"/>
    <row r="114"/>
    <row r="115"/>
    <row r="116"/>
    <row r="117"/>
    <row r="118"/>
    <row r="120">
      <c r="A120" s="62" t="inlineStr">
        <is>
          <t>8. Normas aplicables</t>
        </is>
      </c>
    </row>
    <row r="121">
      <c r="A121" s="63" t="inlineStr">
        <is>
          <t>8.1. AMCA 500-D (damper), ASHRAE 62.1/170 (niveles de presurización de referencia), OSHA 29 CFR 1910.1450 (buena práctica de laboratorios), RETIE y NTC 2050 (instalación eléctrica e instrumentación), Resolución 0312 de 2019 (Colombia).</t>
        </is>
      </c>
    </row>
    <row r="122"/>
    <row r="123"/>
  </sheetData>
  <mergeCells count="67">
    <mergeCell ref="B75:F75"/>
    <mergeCell ref="C48:F48"/>
    <mergeCell ref="B91:F91"/>
    <mergeCell ref="A81:F84"/>
    <mergeCell ref="B62:F62"/>
    <mergeCell ref="A19:F22"/>
    <mergeCell ref="B90:F90"/>
    <mergeCell ref="B66:F66"/>
    <mergeCell ref="A120:F120"/>
    <mergeCell ref="A18:F18"/>
    <mergeCell ref="B93:F93"/>
    <mergeCell ref="A86:F86"/>
    <mergeCell ref="B96:F96"/>
    <mergeCell ref="A71:F71"/>
    <mergeCell ref="B12:F12"/>
    <mergeCell ref="B77:F77"/>
    <mergeCell ref="N3:O3"/>
    <mergeCell ref="C49:F49"/>
    <mergeCell ref="B11:F11"/>
    <mergeCell ref="N2:O2"/>
    <mergeCell ref="A105:F109"/>
    <mergeCell ref="B60:F60"/>
    <mergeCell ref="B67:F67"/>
    <mergeCell ref="B61:F61"/>
    <mergeCell ref="A25:F33"/>
    <mergeCell ref="B14:F14"/>
    <mergeCell ref="A100:F100"/>
    <mergeCell ref="N5:O5"/>
    <mergeCell ref="N1:O1"/>
    <mergeCell ref="A34:F43"/>
    <mergeCell ref="B13:F13"/>
    <mergeCell ref="B88:F88"/>
    <mergeCell ref="C2:L3"/>
    <mergeCell ref="B73:F73"/>
    <mergeCell ref="C45:F45"/>
    <mergeCell ref="A121:F123"/>
    <mergeCell ref="B78:F78"/>
    <mergeCell ref="B10:F10"/>
    <mergeCell ref="A9:F9"/>
    <mergeCell ref="A111:F111"/>
    <mergeCell ref="A58:F58"/>
    <mergeCell ref="C47:F47"/>
    <mergeCell ref="A1:A5"/>
    <mergeCell ref="C50:F50"/>
    <mergeCell ref="B74:F74"/>
    <mergeCell ref="B92:F92"/>
    <mergeCell ref="A52:F56"/>
    <mergeCell ref="A24:F24"/>
    <mergeCell ref="B65:F65"/>
    <mergeCell ref="B68:F68"/>
    <mergeCell ref="C1:L1"/>
    <mergeCell ref="A112:F118"/>
    <mergeCell ref="B64:F64"/>
    <mergeCell ref="B15:F15"/>
    <mergeCell ref="B95:F95"/>
    <mergeCell ref="B89:F89"/>
    <mergeCell ref="C4:L6"/>
    <mergeCell ref="N6:O6"/>
    <mergeCell ref="C46:F46"/>
    <mergeCell ref="B76:F76"/>
    <mergeCell ref="B94:F94"/>
    <mergeCell ref="B63:F63"/>
    <mergeCell ref="A101:F104"/>
    <mergeCell ref="B79:F79"/>
    <mergeCell ref="B1:B5"/>
    <mergeCell ref="B97:F97"/>
    <mergeCell ref="N4:O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2026-07-24T20:52:58Z</dcterms:modified>
  <cp:lastModifiedBy>JAG DESIGN</cp:lastModifiedBy>
  <cp:lastPrinted>2026-07-23T18:36:47Z</cp:lastPrinted>
</cp:coreProperties>
</file>