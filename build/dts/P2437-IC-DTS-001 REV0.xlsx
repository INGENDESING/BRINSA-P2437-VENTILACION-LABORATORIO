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ORTADA" sheetId="1" state="visible" r:id="rId1"/>
    <sheet name="ESPECIFICACIÓN" sheetId="2" state="visible" r:id="rId2"/>
  </sheets>
  <definedNames>
    <definedName name="_xlnm.Print_Area" localSheetId="0">'PORTADA'!$A$1:$BZ$66</definedName>
  </definedNames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00000000"/>
  </numFmts>
  <fonts count="22"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color theme="1"/>
      <sz val="11"/>
      <scheme val="minor"/>
    </font>
    <font>
      <name val="Verdana"/>
      <family val="2"/>
      <color rgb="FF00B050"/>
      <sz val="12"/>
    </font>
    <font>
      <name val="Verdana"/>
      <family val="2"/>
      <b val="1"/>
      <sz val="12"/>
    </font>
    <font>
      <name val="Verdana"/>
      <family val="2"/>
      <sz val="12"/>
    </font>
    <font>
      <name val="Verdana"/>
      <family val="2"/>
      <color theme="1"/>
      <sz val="12"/>
    </font>
    <font>
      <name val="Verdana"/>
      <family val="2"/>
      <color rgb="FFEAEAEA"/>
      <sz val="12"/>
    </font>
    <font>
      <name val="Verdana"/>
      <family val="2"/>
      <b val="1"/>
      <color theme="1"/>
      <sz val="12"/>
    </font>
    <font>
      <name val="Verdana"/>
      <family val="2"/>
      <b val="1"/>
      <color theme="1"/>
      <sz val="15"/>
    </font>
    <font>
      <name val="Verdana"/>
      <family val="2"/>
      <b val="1"/>
      <i val="1"/>
      <color theme="1"/>
      <sz val="15"/>
    </font>
    <font>
      <name val="Verdana"/>
      <family val="2"/>
      <color theme="1"/>
      <sz val="15"/>
    </font>
    <font>
      <name val="Verdana"/>
      <family val="2"/>
      <b val="1"/>
      <sz val="15"/>
    </font>
    <font>
      <name val="Calibri"/>
      <family val="2"/>
      <sz val="8"/>
      <scheme val="minor"/>
    </font>
    <font>
      <name val="Verdana"/>
      <family val="2"/>
      <color theme="1"/>
      <sz val="20"/>
    </font>
    <font>
      <name val="Verdana"/>
      <family val="2"/>
      <b val="1"/>
      <color rgb="FFFFFFFF"/>
      <sz val="22"/>
    </font>
    <font>
      <name val="Verdana"/>
      <family val="2"/>
      <b val="1"/>
      <color theme="1"/>
      <sz val="16"/>
    </font>
    <font>
      <b val="1"/>
      <color rgb="001F4E78"/>
      <sz val="14"/>
    </font>
    <font>
      <b val="1"/>
      <color rgb="00FFFFFF"/>
      <sz val="11"/>
    </font>
    <font>
      <b val="1"/>
      <color rgb="001F4E78"/>
      <sz val="12"/>
    </font>
    <font>
      <i val="1"/>
      <color rgb="00404040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1F4E78"/>
        <bgColor rgb="001F4E78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">
    <xf numFmtId="0" fontId="2" fillId="0" borderId="0"/>
    <xf numFmtId="0" fontId="2" fillId="0" borderId="0"/>
    <xf numFmtId="0" fontId="2" fillId="0" borderId="0"/>
    <xf numFmtId="43" fontId="2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2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left"/>
    </xf>
    <xf numFmtId="0" fontId="7" fillId="0" borderId="0" pivotButton="0" quotePrefix="0" xfId="2"/>
    <xf numFmtId="0" fontId="6" fillId="0" borderId="0" applyAlignment="1" pivotButton="0" quotePrefix="0" xfId="1">
      <alignment horizontal="left" vertical="center"/>
    </xf>
    <xf numFmtId="1" fontId="6" fillId="0" borderId="0" applyAlignment="1" pivotButton="0" quotePrefix="0" xfId="1">
      <alignment horizontal="center"/>
    </xf>
    <xf numFmtId="43" fontId="6" fillId="0" borderId="0" applyAlignment="1" pivotButton="0" quotePrefix="0" xfId="3">
      <alignment vertical="center"/>
    </xf>
    <xf numFmtId="0" fontId="6" fillId="0" borderId="0" applyAlignment="1" pivotButton="0" quotePrefix="0" xfId="1">
      <alignment vertical="center"/>
    </xf>
    <xf numFmtId="0" fontId="9" fillId="0" borderId="1" applyAlignment="1" pivotButton="0" quotePrefix="0" xfId="0">
      <alignment vertical="center" wrapText="1"/>
    </xf>
    <xf numFmtId="0" fontId="12" fillId="0" borderId="0" pivotButton="0" quotePrefix="0" xfId="0"/>
    <xf numFmtId="0" fontId="9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right"/>
    </xf>
    <xf numFmtId="0" fontId="6" fillId="2" borderId="0" pivotButton="0" quotePrefix="0" xfId="2"/>
    <xf numFmtId="0" fontId="14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6" fillId="0" borderId="0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/>
    </xf>
    <xf numFmtId="164" fontId="6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6" fillId="0" borderId="1" applyAlignment="1" pivotButton="0" quotePrefix="0" xfId="1">
      <alignment horizontal="center" vertical="center"/>
    </xf>
    <xf numFmtId="165" fontId="5" fillId="0" borderId="1" applyAlignment="1" applyProtection="1" pivotButton="0" quotePrefix="0" xfId="1">
      <alignment horizontal="left" vertical="center" indent="1"/>
      <protection locked="1" hidden="1"/>
    </xf>
    <xf numFmtId="0" fontId="4" fillId="0" borderId="1" applyAlignment="1" pivotButton="0" quotePrefix="0" xfId="1">
      <alignment horizontal="left" vertical="center" indent="1"/>
    </xf>
    <xf numFmtId="0" fontId="5" fillId="0" borderId="1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/>
    </xf>
    <xf numFmtId="0" fontId="3" fillId="0" borderId="1" applyAlignment="1" pivotButton="0" quotePrefix="0" xfId="1">
      <alignment horizontal="left" vertical="center"/>
    </xf>
    <xf numFmtId="49" fontId="5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left" vertical="center" wrapText="1" indent="4"/>
    </xf>
    <xf numFmtId="0" fontId="15" fillId="0" borderId="2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164" fontId="1" fillId="0" borderId="1" applyAlignment="1" pivotButton="0" quotePrefix="0" xfId="1">
      <alignment horizontal="center" vertical="center" wrapText="1"/>
    </xf>
    <xf numFmtId="14" fontId="1" fillId="0" borderId="1" applyAlignment="1" pivotButton="0" quotePrefix="0" xfId="1">
      <alignment horizontal="center" vertical="center" wrapText="1"/>
    </xf>
    <xf numFmtId="165" fontId="1" fillId="0" borderId="1" applyAlignment="1" pivotButton="0" quotePrefix="0" xfId="1">
      <alignment horizontal="center" vertical="center" wrapText="1"/>
    </xf>
    <xf numFmtId="0" fontId="8" fillId="4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9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43" fontId="6" fillId="0" borderId="0" applyAlignment="1" pivotButton="0" quotePrefix="0" xfId="3">
      <alignment vertical="center"/>
    </xf>
    <xf numFmtId="0" fontId="0" fillId="0" borderId="11" pivotButton="0" quotePrefix="0" xfId="0"/>
    <xf numFmtId="0" fontId="0" fillId="0" borderId="12" pivotButton="0" quotePrefix="0" xfId="0"/>
    <xf numFmtId="0" fontId="17" fillId="0" borderId="0" applyAlignment="1" pivotButton="0" quotePrefix="0" xfId="0">
      <alignment vertical="center" wrapText="1"/>
    </xf>
    <xf numFmtId="0" fontId="18" fillId="5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</cellXfs>
  <cellStyles count="4">
    <cellStyle name="Normal" xfId="0" builtinId="0"/>
    <cellStyle name="Normal 6" xfId="1"/>
    <cellStyle name="Normal 3 2" xfId="2"/>
    <cellStyle name="Millares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154215</colOff>
      <row>1</row>
      <rowOff>147735</rowOff>
    </from>
    <to>
      <col>23</col>
      <colOff>508000</colOff>
      <row>4</row>
      <rowOff>18144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11072" y="466531"/>
          <a:ext cx="2530928" cy="826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99786</colOff>
      <row>0</row>
      <rowOff>117927</rowOff>
    </from>
    <to>
      <col>12</col>
      <colOff>27213</colOff>
      <row>4</row>
      <rowOff>234424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26572" y="117927"/>
          <a:ext cx="2422070" cy="138649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129035</colOff>
      <row>1</row>
      <rowOff>247887</rowOff>
    </from>
    <to>
      <col>1</col>
      <colOff>1995502</colOff>
      <row>3</row>
      <rowOff>246530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2265623" y="613946"/>
          <a:ext cx="1866467" cy="7307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119531</colOff>
      <row>1</row>
      <rowOff>141942</rowOff>
    </from>
    <to>
      <col>0</col>
      <colOff>1972237</colOff>
      <row>3</row>
      <rowOff>343648</rowOff>
    </to>
    <pic>
      <nvPicPr>
        <cNvPr id="3" name="Imagen 2"/>
        <cNvPicPr>
          <a:picLocks noChangeAspect="1"/>
        </cNvPicPr>
      </nvPicPr>
      <blipFill rotWithShape="1">
        <a:blip r:embed="rId2"/>
        <a:srcRect l="4540" t="12476" r="4665" b="12920"/>
        <a:stretch>
          <a:fillRect/>
        </a:stretch>
      </blipFill>
      <spPr>
        <a:xfrm>
          <a:off x="119531" y="508001"/>
          <a:ext cx="1852706" cy="93382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/>
  <cols>
    <col width="3.15234375" customWidth="1" style="3" min="1" max="22"/>
    <col width="5.23046875" customWidth="1" style="3" min="23" max="23"/>
    <col width="8.84375" customWidth="1" style="3" min="24" max="24"/>
    <col width="3.15234375" customWidth="1" style="3" min="25" max="48"/>
    <col width="3.15234375" customWidth="1" style="6" min="49" max="53"/>
    <col width="3.15234375" customWidth="1" style="3" min="54" max="79"/>
    <col width="54.4609375" customWidth="1" style="3" min="80" max="80"/>
    <col width="28.69140625" customWidth="1" style="3" min="81" max="81"/>
    <col width="3.15234375" customWidth="1" style="3" min="82" max="16384"/>
  </cols>
  <sheetData>
    <row r="1" ht="25" customFormat="1" customHeight="1" s="2">
      <c r="A1" s="29" t="n"/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5" t="n"/>
      <c r="N1" s="30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5" t="n"/>
      <c r="Z1" s="27" t="inlineStr">
        <is>
          <t>DISEÑO DE INGENIERÍA</t>
        </is>
      </c>
      <c r="AA1" s="44" t="n"/>
      <c r="AB1" s="44" t="n"/>
      <c r="AC1" s="44" t="n"/>
      <c r="AD1" s="44" t="n"/>
      <c r="AE1" s="44" t="n"/>
      <c r="AF1" s="44" t="n"/>
      <c r="AG1" s="44" t="n"/>
      <c r="AH1" s="44" t="n"/>
      <c r="AI1" s="44" t="n"/>
      <c r="AJ1" s="44" t="n"/>
      <c r="AK1" s="44" t="n"/>
      <c r="AL1" s="44" t="n"/>
      <c r="AM1" s="44" t="n"/>
      <c r="AN1" s="44" t="n"/>
      <c r="AO1" s="44" t="n"/>
      <c r="AP1" s="44" t="n"/>
      <c r="AQ1" s="44" t="n"/>
      <c r="AR1" s="44" t="n"/>
      <c r="AS1" s="44" t="n"/>
      <c r="AT1" s="44" t="n"/>
      <c r="AU1" s="44" t="n"/>
      <c r="AV1" s="44" t="n"/>
      <c r="AW1" s="44" t="n"/>
      <c r="AX1" s="44" t="n"/>
      <c r="AY1" s="44" t="n"/>
      <c r="AZ1" s="44" t="n"/>
      <c r="BA1" s="44" t="n"/>
      <c r="BB1" s="45" t="n"/>
      <c r="BC1" s="26" t="inlineStr">
        <is>
          <t>CODIGO:</t>
        </is>
      </c>
      <c r="BD1" s="46" t="n"/>
      <c r="BE1" s="46" t="n"/>
      <c r="BF1" s="46" t="n"/>
      <c r="BG1" s="46" t="n"/>
      <c r="BH1" s="46" t="n"/>
      <c r="BI1" s="46" t="n"/>
      <c r="BJ1" s="46" t="n"/>
      <c r="BK1" s="46" t="n"/>
      <c r="BL1" s="46" t="n"/>
      <c r="BM1" s="46" t="n"/>
      <c r="BN1" s="47" t="n"/>
      <c r="BO1" s="25" t="inlineStr">
        <is>
          <t>P2437-IC-DTS-001</t>
        </is>
      </c>
      <c r="BP1" s="48" t="n"/>
      <c r="BQ1" s="48" t="n"/>
      <c r="BR1" s="48" t="n"/>
      <c r="BS1" s="48" t="n"/>
      <c r="BT1" s="48" t="n"/>
      <c r="BU1" s="48" t="n"/>
      <c r="BV1" s="48" t="n"/>
      <c r="BW1" s="48" t="n"/>
      <c r="BX1" s="48" t="n"/>
      <c r="BY1" s="48" t="n"/>
      <c r="BZ1" s="49" t="n"/>
      <c r="CB1" s="15" t="inlineStr">
        <is>
          <t>REVIZADO</t>
        </is>
      </c>
      <c r="CC1" s="16" t="inlineStr">
        <is>
          <t>JULIO 23 DEL 2026</t>
        </is>
      </c>
    </row>
    <row r="2" ht="25" customFormat="1" customHeight="1" s="2">
      <c r="A2" s="50" t="n"/>
      <c r="M2" s="51" t="n"/>
      <c r="N2" s="50" t="n"/>
      <c r="Y2" s="51" t="n"/>
      <c r="Z2" s="52" t="n"/>
      <c r="AA2" s="53" t="n"/>
      <c r="AB2" s="53" t="n"/>
      <c r="AC2" s="53" t="n"/>
      <c r="AD2" s="53" t="n"/>
      <c r="AE2" s="53" t="n"/>
      <c r="AF2" s="53" t="n"/>
      <c r="AG2" s="53" t="n"/>
      <c r="AH2" s="53" t="n"/>
      <c r="AI2" s="53" t="n"/>
      <c r="AJ2" s="53" t="n"/>
      <c r="AK2" s="53" t="n"/>
      <c r="AL2" s="53" t="n"/>
      <c r="AM2" s="53" t="n"/>
      <c r="AN2" s="53" t="n"/>
      <c r="AO2" s="53" t="n"/>
      <c r="AP2" s="53" t="n"/>
      <c r="AQ2" s="53" t="n"/>
      <c r="AR2" s="53" t="n"/>
      <c r="AS2" s="53" t="n"/>
      <c r="AT2" s="53" t="n"/>
      <c r="AU2" s="53" t="n"/>
      <c r="AV2" s="53" t="n"/>
      <c r="AW2" s="53" t="n"/>
      <c r="AX2" s="53" t="n"/>
      <c r="AY2" s="53" t="n"/>
      <c r="AZ2" s="53" t="n"/>
      <c r="BA2" s="53" t="n"/>
      <c r="BB2" s="54" t="n"/>
      <c r="BC2" s="26" t="inlineStr">
        <is>
          <t>REVISION:</t>
        </is>
      </c>
      <c r="BD2" s="46" t="n"/>
      <c r="BE2" s="46" t="n"/>
      <c r="BF2" s="46" t="n"/>
      <c r="BG2" s="46" t="n"/>
      <c r="BH2" s="46" t="n"/>
      <c r="BI2" s="46" t="n"/>
      <c r="BJ2" s="46" t="n"/>
      <c r="BK2" s="46" t="n"/>
      <c r="BL2" s="46" t="n"/>
      <c r="BM2" s="46" t="n"/>
      <c r="BN2" s="47" t="n"/>
      <c r="BO2" s="25" t="inlineStr">
        <is>
          <t>CERO (0)</t>
        </is>
      </c>
      <c r="BP2" s="48" t="n"/>
      <c r="BQ2" s="48" t="n"/>
      <c r="BR2" s="48" t="n"/>
      <c r="BS2" s="48" t="n"/>
      <c r="BT2" s="48" t="n"/>
      <c r="BU2" s="48" t="n"/>
      <c r="BV2" s="48" t="n"/>
      <c r="BW2" s="48" t="n"/>
      <c r="BX2" s="48" t="n"/>
      <c r="BY2" s="48" t="n"/>
      <c r="BZ2" s="49" t="n"/>
      <c r="CB2" s="15" t="inlineStr">
        <is>
          <t>APROBADO</t>
        </is>
      </c>
      <c r="CC2" s="16" t="inlineStr">
        <is>
          <t>JULIO 24 DEL 2026</t>
        </is>
      </c>
    </row>
    <row r="3" ht="25" customFormat="1" customHeight="1" s="2">
      <c r="A3" s="50" t="n"/>
      <c r="M3" s="51" t="n"/>
      <c r="N3" s="50" t="n"/>
      <c r="Y3" s="51" t="n"/>
      <c r="Z3" s="27" t="inlineStr">
        <is>
          <t>SISTEMA HVAC LABORATORIO BRINSA</t>
        </is>
      </c>
      <c r="AA3" s="44" t="n"/>
      <c r="AB3" s="44" t="n"/>
      <c r="AC3" s="44" t="n"/>
      <c r="AD3" s="44" t="n"/>
      <c r="AE3" s="44" t="n"/>
      <c r="AF3" s="44" t="n"/>
      <c r="AG3" s="44" t="n"/>
      <c r="AH3" s="44" t="n"/>
      <c r="AI3" s="44" t="n"/>
      <c r="AJ3" s="44" t="n"/>
      <c r="AK3" s="44" t="n"/>
      <c r="AL3" s="44" t="n"/>
      <c r="AM3" s="44" t="n"/>
      <c r="AN3" s="44" t="n"/>
      <c r="AO3" s="44" t="n"/>
      <c r="AP3" s="44" t="n"/>
      <c r="AQ3" s="44" t="n"/>
      <c r="AR3" s="44" t="n"/>
      <c r="AS3" s="44" t="n"/>
      <c r="AT3" s="44" t="n"/>
      <c r="AU3" s="44" t="n"/>
      <c r="AV3" s="44" t="n"/>
      <c r="AW3" s="44" t="n"/>
      <c r="AX3" s="44" t="n"/>
      <c r="AY3" s="44" t="n"/>
      <c r="AZ3" s="44" t="n"/>
      <c r="BA3" s="44" t="n"/>
      <c r="BB3" s="45" t="n"/>
      <c r="BC3" s="26" t="inlineStr">
        <is>
          <t>FECHA:</t>
        </is>
      </c>
      <c r="BD3" s="46" t="n"/>
      <c r="BE3" s="46" t="n"/>
      <c r="BF3" s="46" t="n"/>
      <c r="BG3" s="46" t="n"/>
      <c r="BH3" s="46" t="n"/>
      <c r="BI3" s="46" t="n"/>
      <c r="BJ3" s="46" t="n"/>
      <c r="BK3" s="46" t="n"/>
      <c r="BL3" s="46" t="n"/>
      <c r="BM3" s="46" t="n"/>
      <c r="BN3" s="47" t="n"/>
      <c r="BO3" s="25" t="inlineStr">
        <is>
          <t>JULIO 23 DEL 2026</t>
        </is>
      </c>
      <c r="BP3" s="48" t="n"/>
      <c r="BQ3" s="48" t="n"/>
      <c r="BR3" s="48" t="n"/>
      <c r="BS3" s="48" t="n"/>
      <c r="BT3" s="48" t="n"/>
      <c r="BU3" s="48" t="n"/>
      <c r="BV3" s="48" t="n"/>
      <c r="BW3" s="48" t="n"/>
      <c r="BX3" s="48" t="n"/>
      <c r="BY3" s="48" t="n"/>
      <c r="BZ3" s="49" t="n"/>
    </row>
    <row r="4" ht="25" customFormat="1" customHeight="1" s="2">
      <c r="A4" s="50" t="n"/>
      <c r="M4" s="51" t="n"/>
      <c r="N4" s="50" t="n"/>
      <c r="Y4" s="51" t="n"/>
      <c r="Z4" s="52" t="n"/>
      <c r="AA4" s="53" t="n"/>
      <c r="AB4" s="53" t="n"/>
      <c r="AC4" s="53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3" t="n"/>
      <c r="AQ4" s="53" t="n"/>
      <c r="AR4" s="53" t="n"/>
      <c r="AS4" s="53" t="n"/>
      <c r="AT4" s="53" t="n"/>
      <c r="AU4" s="53" t="n"/>
      <c r="AV4" s="53" t="n"/>
      <c r="AW4" s="53" t="n"/>
      <c r="AX4" s="53" t="n"/>
      <c r="AY4" s="53" t="n"/>
      <c r="AZ4" s="53" t="n"/>
      <c r="BA4" s="53" t="n"/>
      <c r="BB4" s="54" t="n"/>
      <c r="BC4" s="26" t="inlineStr">
        <is>
          <t>ELABORO:</t>
        </is>
      </c>
      <c r="BD4" s="46" t="n"/>
      <c r="BE4" s="46" t="n"/>
      <c r="BF4" s="46" t="n"/>
      <c r="BG4" s="46" t="n"/>
      <c r="BH4" s="46" t="n"/>
      <c r="BI4" s="46" t="n"/>
      <c r="BJ4" s="46" t="n"/>
      <c r="BK4" s="46" t="n"/>
      <c r="BL4" s="46" t="n"/>
      <c r="BM4" s="46" t="n"/>
      <c r="BN4" s="47" t="n"/>
      <c r="BO4" s="25" t="inlineStr">
        <is>
          <t>J.ARBOLEDA</t>
        </is>
      </c>
      <c r="BP4" s="48" t="n"/>
      <c r="BQ4" s="48" t="n"/>
      <c r="BR4" s="48" t="n"/>
      <c r="BS4" s="48" t="n"/>
      <c r="BT4" s="48" t="n"/>
      <c r="BU4" s="48" t="n"/>
      <c r="BV4" s="48" t="n"/>
      <c r="BW4" s="48" t="n"/>
      <c r="BX4" s="48" t="n"/>
      <c r="BY4" s="48" t="n"/>
      <c r="BZ4" s="49" t="n"/>
    </row>
    <row r="5" ht="25" customFormat="1" customHeight="1" s="2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4" t="n"/>
      <c r="N5" s="52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4" t="n"/>
      <c r="Z5" s="31" t="inlineStr">
        <is>
          <t>HOJA DE DATOS Y ESPECIFICACIONES TÉCNICAS DE LOS INSTRUMENTOS DE PRESIÓN DIFERENCIAL</t>
        </is>
      </c>
      <c r="AA5" s="44" t="n"/>
      <c r="AB5" s="44" t="n"/>
      <c r="AC5" s="44" t="n"/>
      <c r="AD5" s="44" t="n"/>
      <c r="AE5" s="44" t="n"/>
      <c r="AF5" s="44" t="n"/>
      <c r="AG5" s="44" t="n"/>
      <c r="AH5" s="44" t="n"/>
      <c r="AI5" s="44" t="n"/>
      <c r="AJ5" s="44" t="n"/>
      <c r="AK5" s="44" t="n"/>
      <c r="AL5" s="44" t="n"/>
      <c r="AM5" s="44" t="n"/>
      <c r="AN5" s="44" t="n"/>
      <c r="AO5" s="44" t="n"/>
      <c r="AP5" s="44" t="n"/>
      <c r="AQ5" s="44" t="n"/>
      <c r="AR5" s="44" t="n"/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5" t="n"/>
      <c r="BC5" s="26" t="inlineStr">
        <is>
          <t>REVISO:</t>
        </is>
      </c>
      <c r="BD5" s="46" t="n"/>
      <c r="BE5" s="46" t="n"/>
      <c r="BF5" s="46" t="n"/>
      <c r="BG5" s="46" t="n"/>
      <c r="BH5" s="46" t="n"/>
      <c r="BI5" s="46" t="n"/>
      <c r="BJ5" s="46" t="n"/>
      <c r="BK5" s="46" t="n"/>
      <c r="BL5" s="46" t="n"/>
      <c r="BM5" s="46" t="n"/>
      <c r="BN5" s="47" t="n"/>
      <c r="BO5" s="25" t="inlineStr">
        <is>
          <t>F.NAVIA</t>
        </is>
      </c>
      <c r="BP5" s="48" t="n"/>
      <c r="BQ5" s="48" t="n"/>
      <c r="BR5" s="48" t="n"/>
      <c r="BS5" s="48" t="n"/>
      <c r="BT5" s="48" t="n"/>
      <c r="BU5" s="48" t="n"/>
      <c r="BV5" s="48" t="n"/>
      <c r="BW5" s="48" t="n"/>
      <c r="BX5" s="48" t="n"/>
      <c r="BY5" s="48" t="n"/>
      <c r="BZ5" s="49" t="n"/>
    </row>
    <row r="6" ht="25" customFormat="1" customHeight="1" s="2">
      <c r="A6" s="28" t="inlineStr">
        <is>
          <t>PROYECTO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7" t="n"/>
      <c r="N6" s="28" t="inlineStr">
        <is>
          <t>P2437</t>
        </is>
      </c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7" t="n"/>
      <c r="Z6" s="52" t="n"/>
      <c r="AA6" s="53" t="n"/>
      <c r="AB6" s="53" t="n"/>
      <c r="AC6" s="53" t="n"/>
      <c r="AD6" s="53" t="n"/>
      <c r="AE6" s="53" t="n"/>
      <c r="AF6" s="53" t="n"/>
      <c r="AG6" s="53" t="n"/>
      <c r="AH6" s="53" t="n"/>
      <c r="AI6" s="53" t="n"/>
      <c r="AJ6" s="53" t="n"/>
      <c r="AK6" s="53" t="n"/>
      <c r="AL6" s="53" t="n"/>
      <c r="AM6" s="53" t="n"/>
      <c r="AN6" s="53" t="n"/>
      <c r="AO6" s="53" t="n"/>
      <c r="AP6" s="53" t="n"/>
      <c r="AQ6" s="53" t="n"/>
      <c r="AR6" s="53" t="n"/>
      <c r="AS6" s="53" t="n"/>
      <c r="AT6" s="53" t="n"/>
      <c r="AU6" s="53" t="n"/>
      <c r="AV6" s="53" t="n"/>
      <c r="AW6" s="53" t="n"/>
      <c r="AX6" s="53" t="n"/>
      <c r="AY6" s="53" t="n"/>
      <c r="AZ6" s="53" t="n"/>
      <c r="BA6" s="53" t="n"/>
      <c r="BB6" s="54" t="n"/>
      <c r="BC6" s="26" t="inlineStr">
        <is>
          <t>APROBO:</t>
        </is>
      </c>
      <c r="BD6" s="46" t="n"/>
      <c r="BE6" s="46" t="n"/>
      <c r="BF6" s="46" t="n"/>
      <c r="BG6" s="46" t="n"/>
      <c r="BH6" s="46" t="n"/>
      <c r="BI6" s="46" t="n"/>
      <c r="BJ6" s="46" t="n"/>
      <c r="BK6" s="46" t="n"/>
      <c r="BL6" s="46" t="n"/>
      <c r="BM6" s="46" t="n"/>
      <c r="BN6" s="47" t="n"/>
      <c r="BO6" s="25" t="inlineStr">
        <is>
          <t>H.ROSERO</t>
        </is>
      </c>
      <c r="BP6" s="48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</row>
    <row r="7" ht="15" customHeight="1"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5" t="n"/>
      <c r="AD7" s="21" t="n"/>
      <c r="AE7" s="21" t="n"/>
      <c r="AF7" s="21" t="n"/>
      <c r="CD7" s="7" t="n"/>
    </row>
    <row r="8" ht="15" customHeight="1"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5" t="n"/>
      <c r="AD8" s="21" t="n"/>
      <c r="AE8" s="21" t="n"/>
      <c r="AF8" s="21" t="n"/>
      <c r="CD8" s="7" t="n"/>
    </row>
    <row r="9" ht="15" customHeight="1"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5" t="n"/>
      <c r="AD9" s="21" t="n"/>
      <c r="AE9" s="21" t="n"/>
      <c r="AF9" s="21" t="n"/>
      <c r="CD9" s="7" t="n"/>
    </row>
    <row r="10" ht="15" customHeight="1"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5" t="n"/>
      <c r="AD10" s="21" t="n"/>
      <c r="AE10" s="21" t="n"/>
      <c r="AF10" s="21" t="n"/>
      <c r="CD10" s="7" t="n"/>
    </row>
    <row r="11" ht="15" customHeight="1"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5" t="n"/>
      <c r="AD11" s="21" t="n"/>
      <c r="AE11" s="21" t="n"/>
      <c r="AF11" s="21" t="n"/>
      <c r="CD11" s="7" t="n"/>
    </row>
    <row r="12" ht="15" customHeight="1"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5" t="n"/>
      <c r="AD12" s="21" t="n"/>
      <c r="AE12" s="21" t="n"/>
      <c r="AF12" s="21" t="n"/>
      <c r="CD12" s="7" t="n"/>
    </row>
    <row r="13" ht="15" customHeight="1"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5" t="n"/>
      <c r="AD13" s="21" t="n"/>
      <c r="AE13" s="21" t="n"/>
      <c r="AF13" s="21" t="n"/>
      <c r="CD13" s="7" t="n"/>
    </row>
    <row r="14" ht="15" customHeight="1"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5" t="n"/>
      <c r="AD14" s="21" t="n"/>
      <c r="AE14" s="21" t="n"/>
      <c r="AF14" s="21" t="n"/>
      <c r="CD14" s="7" t="n"/>
    </row>
    <row r="15" ht="15" customHeight="1"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5" t="n"/>
      <c r="AD15" s="21" t="n"/>
      <c r="AE15" s="21" t="n"/>
      <c r="AF15" s="21" t="n"/>
      <c r="CD15" s="7" t="n"/>
    </row>
    <row r="16" ht="15" customHeight="1"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5" t="n"/>
      <c r="AD16" s="21" t="n"/>
      <c r="AE16" s="21" t="n"/>
      <c r="AF16" s="21" t="n"/>
      <c r="CD16" s="7" t="n"/>
    </row>
    <row r="17" ht="15" customHeight="1"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5" t="n"/>
      <c r="AD17" s="21" t="n"/>
      <c r="AE17" s="21" t="n"/>
      <c r="AF17" s="21" t="n"/>
      <c r="CD17" s="7" t="n"/>
    </row>
    <row r="18" ht="15" customHeight="1"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5" t="n"/>
      <c r="AD18" s="21" t="n"/>
      <c r="AE18" s="21" t="n"/>
      <c r="AF18" s="21" t="n"/>
      <c r="CD18" s="7" t="n"/>
    </row>
    <row r="19" ht="15" customHeight="1"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5" t="n"/>
      <c r="AD19" s="21" t="n"/>
      <c r="AE19" s="21" t="n"/>
      <c r="AF19" s="21" t="n"/>
      <c r="CD19" s="7" t="n"/>
    </row>
    <row r="20" ht="15" customHeight="1"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5" t="n"/>
      <c r="AD20" s="21" t="n"/>
      <c r="AE20" s="21" t="n"/>
      <c r="AF20" s="21" t="n"/>
      <c r="CD20" s="7" t="n"/>
    </row>
    <row r="21" ht="15" customHeight="1"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41" t="inlineStr">
        <is>
          <t>Elaborado por:</t>
        </is>
      </c>
      <c r="S21" s="44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  <c r="AE21" s="45" t="n"/>
      <c r="AF21" s="41" t="inlineStr">
        <is>
          <t>Revisado por:</t>
        </is>
      </c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  <c r="AQ21" s="44" t="n"/>
      <c r="AR21" s="44" t="n"/>
      <c r="AS21" s="45" t="n"/>
      <c r="AT21" s="41" t="inlineStr">
        <is>
          <t>Aprobado por:</t>
        </is>
      </c>
      <c r="AU21" s="44" t="n"/>
      <c r="AV21" s="44" t="n"/>
      <c r="AW21" s="44" t="n"/>
      <c r="AX21" s="44" t="n"/>
      <c r="AY21" s="44" t="n"/>
      <c r="AZ21" s="44" t="n"/>
      <c r="BA21" s="44" t="n"/>
      <c r="BB21" s="44" t="n"/>
      <c r="BC21" s="44" t="n"/>
      <c r="BD21" s="44" t="n"/>
      <c r="BE21" s="44" t="n"/>
      <c r="BF21" s="44" t="n"/>
      <c r="BG21" s="45" t="n"/>
    </row>
    <row r="22" ht="15" customHeight="1"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50" t="n"/>
      <c r="AE22" s="51" t="n"/>
      <c r="AF22" s="50" t="n"/>
      <c r="AS22" s="51" t="n"/>
      <c r="AT22" s="50" t="n"/>
      <c r="BG22" s="51" t="n"/>
    </row>
    <row r="23" ht="15" customHeight="1"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52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  <c r="AC23" s="53" t="n"/>
      <c r="AD23" s="53" t="n"/>
      <c r="AE23" s="54" t="n"/>
      <c r="AF23" s="52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4" t="n"/>
      <c r="AT23" s="52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4" t="n"/>
    </row>
    <row r="24" ht="15" customHeight="1"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3" t="inlineStr">
        <is>
          <t>J.ARBOLEDA</t>
        </is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5" t="n"/>
      <c r="AF24" s="2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5" t="n"/>
      <c r="AT24" s="2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5" t="n"/>
    </row>
    <row r="25" ht="15" customHeight="1"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50" t="n"/>
      <c r="AE25" s="51" t="n"/>
      <c r="AF25" s="50" t="n"/>
      <c r="AS25" s="51" t="n"/>
      <c r="AT25" s="50" t="n"/>
      <c r="BG25" s="51" t="n"/>
    </row>
    <row r="26" ht="15" customHeight="1"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52" t="n"/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  <c r="AC26" s="53" t="n"/>
      <c r="AD26" s="53" t="n"/>
      <c r="AE26" s="54" t="n"/>
      <c r="AF26" s="52" t="n"/>
      <c r="AG26" s="53" t="n"/>
      <c r="AH26" s="53" t="n"/>
      <c r="AI26" s="53" t="n"/>
      <c r="AJ26" s="53" t="n"/>
      <c r="AK26" s="53" t="n"/>
      <c r="AL26" s="53" t="n"/>
      <c r="AM26" s="53" t="n"/>
      <c r="AN26" s="53" t="n"/>
      <c r="AO26" s="53" t="n"/>
      <c r="AP26" s="53" t="n"/>
      <c r="AQ26" s="53" t="n"/>
      <c r="AR26" s="53" t="n"/>
      <c r="AS26" s="54" t="n"/>
      <c r="AT26" s="52" t="n"/>
      <c r="AU26" s="53" t="n"/>
      <c r="AV26" s="53" t="n"/>
      <c r="AW26" s="53" t="n"/>
      <c r="AX26" s="53" t="n"/>
      <c r="AY26" s="53" t="n"/>
      <c r="AZ26" s="53" t="n"/>
      <c r="BA26" s="53" t="n"/>
      <c r="BB26" s="53" t="n"/>
      <c r="BC26" s="53" t="n"/>
      <c r="BD26" s="53" t="n"/>
      <c r="BE26" s="53" t="n"/>
      <c r="BF26" s="53" t="n"/>
      <c r="BG26" s="54" t="n"/>
    </row>
    <row r="27" ht="15" customHeight="1"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4">
        <f>"Fecha :"&amp;BO3</f>
        <v/>
      </c>
      <c r="S27" s="44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  <c r="AE27" s="45" t="n"/>
      <c r="AF27" s="24">
        <f>"Fecha :"&amp;CC1</f>
        <v/>
      </c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  <c r="AQ27" s="44" t="n"/>
      <c r="AR27" s="44" t="n"/>
      <c r="AS27" s="45" t="n"/>
      <c r="AT27" s="24">
        <f>"Fecha :"&amp;CC2</f>
        <v/>
      </c>
      <c r="AU27" s="44" t="n"/>
      <c r="AV27" s="44" t="n"/>
      <c r="AW27" s="44" t="n"/>
      <c r="AX27" s="44" t="n"/>
      <c r="AY27" s="44" t="n"/>
      <c r="AZ27" s="44" t="n"/>
      <c r="BA27" s="44" t="n"/>
      <c r="BB27" s="44" t="n"/>
      <c r="BC27" s="44" t="n"/>
      <c r="BD27" s="44" t="n"/>
      <c r="BE27" s="44" t="n"/>
      <c r="BF27" s="44" t="n"/>
      <c r="BG27" s="45" t="n"/>
    </row>
    <row r="28" ht="15" customHeight="1"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50" t="n"/>
      <c r="AE28" s="51" t="n"/>
      <c r="AF28" s="50" t="n"/>
      <c r="AS28" s="51" t="n"/>
      <c r="AT28" s="50" t="n"/>
      <c r="BG28" s="51" t="n"/>
    </row>
    <row r="29" ht="15" customHeight="1"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52" t="n"/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  <c r="AC29" s="53" t="n"/>
      <c r="AD29" s="53" t="n"/>
      <c r="AE29" s="54" t="n"/>
      <c r="AF29" s="52" t="n"/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4" t="n"/>
      <c r="AT29" s="52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  <c r="BF29" s="53" t="n"/>
      <c r="BG29" s="54" t="n"/>
    </row>
    <row r="30" ht="15" customHeight="1"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5" t="n"/>
      <c r="AD30" s="21" t="n"/>
      <c r="AE30" s="21" t="n"/>
      <c r="AF30" s="21" t="n"/>
    </row>
    <row r="31" ht="15" customHeight="1"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5" t="n"/>
      <c r="AD31" s="21" t="n"/>
      <c r="AE31" s="21" t="n"/>
      <c r="AF31" s="21" t="n"/>
    </row>
    <row r="32" ht="15" customHeight="1"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5" t="n"/>
      <c r="AD32" s="21" t="n"/>
      <c r="AE32" s="21" t="n"/>
      <c r="AF32" s="21" t="n"/>
    </row>
    <row r="33" ht="15" customHeight="1"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5" t="n"/>
      <c r="AD33" s="21" t="n"/>
      <c r="AE33" s="21" t="n"/>
      <c r="AF33" s="21" t="n"/>
    </row>
    <row r="34" ht="15" customHeight="1"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5" t="n"/>
      <c r="AD34" s="21" t="n"/>
      <c r="AE34" s="21" t="n"/>
      <c r="AF34" s="21" t="n"/>
    </row>
    <row r="35" ht="15" customHeight="1"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5" t="n"/>
      <c r="AD35" s="21" t="n"/>
      <c r="AE35" s="21" t="n"/>
      <c r="AF35" s="21" t="n"/>
    </row>
    <row r="36" ht="15" customHeight="1"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5" t="n"/>
      <c r="AD36" s="21" t="n"/>
      <c r="AE36" s="21" t="n"/>
      <c r="AF36" s="21" t="n"/>
      <c r="BK36" s="21" t="n"/>
    </row>
    <row r="37" ht="15" customHeight="1"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5" t="n"/>
      <c r="AD37" s="21" t="n"/>
      <c r="AE37" s="21" t="n"/>
      <c r="AF37" s="21" t="n"/>
    </row>
    <row r="38" ht="15" customHeight="1"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5" t="n"/>
      <c r="AD38" s="21" t="n"/>
      <c r="AE38" s="21" t="n"/>
      <c r="AF38" s="21" t="n"/>
    </row>
    <row r="39" ht="15" customHeight="1">
      <c r="G39" s="21" t="n"/>
      <c r="H39" s="21" t="n"/>
      <c r="I39" s="21" t="n"/>
      <c r="J39" s="21" t="n"/>
      <c r="K39" s="21" t="n"/>
      <c r="L39" s="21" t="n"/>
      <c r="M39" s="21" t="n"/>
      <c r="N39" s="21" t="n"/>
      <c r="O39" s="42" t="inlineStr">
        <is>
          <t>Versión</t>
        </is>
      </c>
      <c r="P39" s="44" t="n"/>
      <c r="Q39" s="44" t="n"/>
      <c r="R39" s="44" t="n"/>
      <c r="S39" s="44" t="n"/>
      <c r="T39" s="44" t="n"/>
      <c r="U39" s="45" t="n"/>
      <c r="V39" s="42" t="inlineStr">
        <is>
          <t>Autor</t>
        </is>
      </c>
      <c r="W39" s="44" t="n"/>
      <c r="X39" s="44" t="n"/>
      <c r="Y39" s="44" t="n"/>
      <c r="Z39" s="44" t="n"/>
      <c r="AA39" s="44" t="n"/>
      <c r="AB39" s="45" t="n"/>
      <c r="AC39" s="43" t="inlineStr">
        <is>
          <t>Descripción</t>
        </is>
      </c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5" t="n"/>
      <c r="AP39" s="42" t="inlineStr">
        <is>
          <t>Fecha de elaboración</t>
        </is>
      </c>
      <c r="AQ39" s="44" t="n"/>
      <c r="AR39" s="44" t="n"/>
      <c r="AS39" s="44" t="n"/>
      <c r="AT39" s="44" t="n"/>
      <c r="AU39" s="44" t="n"/>
      <c r="AV39" s="45" t="n"/>
      <c r="AW39" s="42" t="inlineStr">
        <is>
          <t>Fecha de revisión</t>
        </is>
      </c>
      <c r="AX39" s="44" t="n"/>
      <c r="AY39" s="44" t="n"/>
      <c r="AZ39" s="44" t="n"/>
      <c r="BA39" s="44" t="n"/>
      <c r="BB39" s="44" t="n"/>
      <c r="BC39" s="45" t="n"/>
      <c r="BD39" s="42" t="inlineStr">
        <is>
          <t>Revisado por</t>
        </is>
      </c>
      <c r="BE39" s="44" t="n"/>
      <c r="BF39" s="44" t="n"/>
      <c r="BG39" s="44" t="n"/>
      <c r="BH39" s="44" t="n"/>
      <c r="BI39" s="44" t="n"/>
      <c r="BJ39" s="45" t="n"/>
    </row>
    <row r="40" ht="15" customHeight="1">
      <c r="G40" s="21" t="n"/>
      <c r="H40" s="21" t="n"/>
      <c r="I40" s="21" t="n"/>
      <c r="J40" s="21" t="n"/>
      <c r="K40" s="21" t="n"/>
      <c r="L40" s="21" t="n"/>
      <c r="M40" s="21" t="n"/>
      <c r="N40" s="21" t="n"/>
      <c r="O40" s="50" t="n"/>
      <c r="U40" s="51" t="n"/>
      <c r="V40" s="50" t="n"/>
      <c r="AB40" s="51" t="n"/>
      <c r="AC40" s="50" t="n"/>
      <c r="AO40" s="51" t="n"/>
      <c r="AP40" s="50" t="n"/>
      <c r="AV40" s="51" t="n"/>
      <c r="AW40" s="50" t="n"/>
      <c r="BC40" s="51" t="n"/>
      <c r="BD40" s="50" t="n"/>
      <c r="BJ40" s="51" t="n"/>
    </row>
    <row r="41" ht="15" customHeight="1">
      <c r="G41" s="21" t="n"/>
      <c r="H41" s="21" t="n"/>
      <c r="I41" s="21" t="n"/>
      <c r="J41" s="21" t="n"/>
      <c r="K41" s="21" t="n"/>
      <c r="L41" s="21" t="n"/>
      <c r="M41" s="21" t="n"/>
      <c r="N41" s="21" t="n"/>
      <c r="O41" s="52" t="n"/>
      <c r="P41" s="53" t="n"/>
      <c r="Q41" s="53" t="n"/>
      <c r="R41" s="53" t="n"/>
      <c r="S41" s="53" t="n"/>
      <c r="T41" s="53" t="n"/>
      <c r="U41" s="54" t="n"/>
      <c r="V41" s="52" t="n"/>
      <c r="W41" s="53" t="n"/>
      <c r="X41" s="53" t="n"/>
      <c r="Y41" s="53" t="n"/>
      <c r="Z41" s="53" t="n"/>
      <c r="AA41" s="53" t="n"/>
      <c r="AB41" s="54" t="n"/>
      <c r="AC41" s="52" t="n"/>
      <c r="AD41" s="53" t="n"/>
      <c r="AE41" s="53" t="n"/>
      <c r="AF41" s="53" t="n"/>
      <c r="AG41" s="53" t="n"/>
      <c r="AH41" s="53" t="n"/>
      <c r="AI41" s="53" t="n"/>
      <c r="AJ41" s="53" t="n"/>
      <c r="AK41" s="53" t="n"/>
      <c r="AL41" s="53" t="n"/>
      <c r="AM41" s="53" t="n"/>
      <c r="AN41" s="53" t="n"/>
      <c r="AO41" s="54" t="n"/>
      <c r="AP41" s="52" t="n"/>
      <c r="AQ41" s="53" t="n"/>
      <c r="AR41" s="53" t="n"/>
      <c r="AS41" s="53" t="n"/>
      <c r="AT41" s="53" t="n"/>
      <c r="AU41" s="53" t="n"/>
      <c r="AV41" s="54" t="n"/>
      <c r="AW41" s="52" t="n"/>
      <c r="AX41" s="53" t="n"/>
      <c r="AY41" s="53" t="n"/>
      <c r="AZ41" s="53" t="n"/>
      <c r="BA41" s="53" t="n"/>
      <c r="BB41" s="53" t="n"/>
      <c r="BC41" s="54" t="n"/>
      <c r="BD41" s="52" t="n"/>
      <c r="BE41" s="53" t="n"/>
      <c r="BF41" s="53" t="n"/>
      <c r="BG41" s="53" t="n"/>
      <c r="BH41" s="53" t="n"/>
      <c r="BI41" s="53" t="n"/>
      <c r="BJ41" s="54" t="n"/>
    </row>
    <row r="42" ht="15" customHeight="1">
      <c r="G42" s="21" t="n"/>
      <c r="H42" s="21" t="n"/>
      <c r="I42" s="21" t="n"/>
      <c r="J42" s="21" t="n"/>
      <c r="K42" s="21" t="n"/>
      <c r="L42" s="21" t="n"/>
      <c r="M42" s="21" t="n"/>
      <c r="N42" s="21" t="n"/>
      <c r="O42" s="37" t="inlineStr">
        <is>
          <t>CERO (0)</t>
        </is>
      </c>
      <c r="P42" s="44" t="n"/>
      <c r="Q42" s="44" t="n"/>
      <c r="R42" s="44" t="n"/>
      <c r="S42" s="44" t="n"/>
      <c r="T42" s="44" t="n"/>
      <c r="U42" s="45" t="n"/>
      <c r="V42" s="37" t="inlineStr">
        <is>
          <t>J.ARBOLEDA</t>
        </is>
      </c>
      <c r="W42" s="44" t="n"/>
      <c r="X42" s="44" t="n"/>
      <c r="Y42" s="44" t="n"/>
      <c r="Z42" s="44" t="n"/>
      <c r="AA42" s="44" t="n"/>
      <c r="AB42" s="45" t="n"/>
      <c r="AC42" s="38" t="inlineStr">
        <is>
          <t>Emitido para cotizacion</t>
        </is>
      </c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5" t="n"/>
      <c r="AP42" s="39">
        <f>BO3</f>
        <v/>
      </c>
      <c r="AQ42" s="44" t="n"/>
      <c r="AR42" s="44" t="n"/>
      <c r="AS42" s="44" t="n"/>
      <c r="AT42" s="44" t="n"/>
      <c r="AU42" s="44" t="n"/>
      <c r="AV42" s="45" t="n"/>
      <c r="AW42" s="39">
        <f>AT27</f>
        <v/>
      </c>
      <c r="AX42" s="44" t="n"/>
      <c r="AY42" s="44" t="n"/>
      <c r="AZ42" s="44" t="n"/>
      <c r="BA42" s="44" t="n"/>
      <c r="BB42" s="44" t="n"/>
      <c r="BC42" s="45" t="n"/>
      <c r="BD42" s="40">
        <f>BO5</f>
        <v/>
      </c>
      <c r="BE42" s="44" t="n"/>
      <c r="BF42" s="44" t="n"/>
      <c r="BG42" s="44" t="n"/>
      <c r="BH42" s="44" t="n"/>
      <c r="BI42" s="44" t="n"/>
      <c r="BJ42" s="45" t="n"/>
    </row>
    <row r="43" ht="15" customHeight="1">
      <c r="G43" s="21" t="n"/>
      <c r="H43" s="21" t="n"/>
      <c r="I43" s="21" t="n"/>
      <c r="J43" s="21" t="n"/>
      <c r="K43" s="21" t="n"/>
      <c r="L43" s="21" t="n"/>
      <c r="M43" s="21" t="n"/>
      <c r="N43" s="21" t="n"/>
      <c r="O43" s="50" t="n"/>
      <c r="U43" s="51" t="n"/>
      <c r="V43" s="50" t="n"/>
      <c r="AB43" s="51" t="n"/>
      <c r="AC43" s="50" t="n"/>
      <c r="AO43" s="51" t="n"/>
      <c r="AP43" s="50" t="n"/>
      <c r="AV43" s="51" t="n"/>
      <c r="AW43" s="50" t="n"/>
      <c r="BC43" s="51" t="n"/>
      <c r="BD43" s="50" t="n"/>
      <c r="BJ43" s="51" t="n"/>
      <c r="BP43" s="21" t="n"/>
    </row>
    <row r="44" ht="15" customHeight="1">
      <c r="G44" s="21" t="n"/>
      <c r="H44" s="21" t="n"/>
      <c r="I44" s="21" t="n"/>
      <c r="J44" s="21" t="n"/>
      <c r="K44" s="21" t="n"/>
      <c r="L44" s="21" t="n"/>
      <c r="M44" s="21" t="n"/>
      <c r="N44" s="21" t="n"/>
      <c r="O44" s="52" t="n"/>
      <c r="P44" s="53" t="n"/>
      <c r="Q44" s="53" t="n"/>
      <c r="R44" s="53" t="n"/>
      <c r="S44" s="53" t="n"/>
      <c r="T44" s="53" t="n"/>
      <c r="U44" s="54" t="n"/>
      <c r="V44" s="52" t="n"/>
      <c r="W44" s="53" t="n"/>
      <c r="X44" s="53" t="n"/>
      <c r="Y44" s="53" t="n"/>
      <c r="Z44" s="53" t="n"/>
      <c r="AA44" s="53" t="n"/>
      <c r="AB44" s="54" t="n"/>
      <c r="AC44" s="52" t="n"/>
      <c r="AD44" s="53" t="n"/>
      <c r="AE44" s="53" t="n"/>
      <c r="AF44" s="53" t="n"/>
      <c r="AG44" s="53" t="n"/>
      <c r="AH44" s="53" t="n"/>
      <c r="AI44" s="53" t="n"/>
      <c r="AJ44" s="53" t="n"/>
      <c r="AK44" s="53" t="n"/>
      <c r="AL44" s="53" t="n"/>
      <c r="AM44" s="53" t="n"/>
      <c r="AN44" s="53" t="n"/>
      <c r="AO44" s="54" t="n"/>
      <c r="AP44" s="52" t="n"/>
      <c r="AQ44" s="53" t="n"/>
      <c r="AR44" s="53" t="n"/>
      <c r="AS44" s="53" t="n"/>
      <c r="AT44" s="53" t="n"/>
      <c r="AU44" s="53" t="n"/>
      <c r="AV44" s="54" t="n"/>
      <c r="AW44" s="52" t="n"/>
      <c r="AX44" s="53" t="n"/>
      <c r="AY44" s="53" t="n"/>
      <c r="AZ44" s="53" t="n"/>
      <c r="BA44" s="53" t="n"/>
      <c r="BB44" s="53" t="n"/>
      <c r="BC44" s="54" t="n"/>
      <c r="BD44" s="52" t="n"/>
      <c r="BE44" s="53" t="n"/>
      <c r="BF44" s="53" t="n"/>
      <c r="BG44" s="53" t="n"/>
      <c r="BH44" s="53" t="n"/>
      <c r="BI44" s="53" t="n"/>
      <c r="BJ44" s="54" t="n"/>
    </row>
    <row r="45" ht="15" customHeight="1">
      <c r="G45" s="21" t="n"/>
      <c r="H45" s="21" t="n"/>
      <c r="I45" s="21" t="n"/>
      <c r="J45" s="21" t="n"/>
      <c r="K45" s="21" t="n"/>
      <c r="L45" s="21" t="n"/>
      <c r="M45" s="21" t="n"/>
      <c r="N45" s="21" t="n"/>
      <c r="O45" s="20" t="n"/>
      <c r="P45" s="44" t="n"/>
      <c r="Q45" s="44" t="n"/>
      <c r="R45" s="44" t="n"/>
      <c r="S45" s="44" t="n"/>
      <c r="T45" s="44" t="n"/>
      <c r="U45" s="45" t="n"/>
      <c r="V45" s="20" t="n"/>
      <c r="W45" s="44" t="n"/>
      <c r="X45" s="44" t="n"/>
      <c r="Y45" s="44" t="n"/>
      <c r="Z45" s="44" t="n"/>
      <c r="AA45" s="44" t="n"/>
      <c r="AB45" s="45" t="n"/>
      <c r="AC45" s="22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5" t="n"/>
      <c r="AP45" s="20" t="n"/>
      <c r="AQ45" s="44" t="n"/>
      <c r="AR45" s="44" t="n"/>
      <c r="AS45" s="44" t="n"/>
      <c r="AT45" s="44" t="n"/>
      <c r="AU45" s="44" t="n"/>
      <c r="AV45" s="45" t="n"/>
      <c r="AW45" s="20" t="n"/>
      <c r="AX45" s="44" t="n"/>
      <c r="AY45" s="44" t="n"/>
      <c r="AZ45" s="44" t="n"/>
      <c r="BA45" s="44" t="n"/>
      <c r="BB45" s="44" t="n"/>
      <c r="BC45" s="45" t="n"/>
      <c r="BD45" s="20" t="n"/>
      <c r="BE45" s="44" t="n"/>
      <c r="BF45" s="44" t="n"/>
      <c r="BG45" s="44" t="n"/>
      <c r="BH45" s="44" t="n"/>
      <c r="BI45" s="44" t="n"/>
      <c r="BJ45" s="45" t="n"/>
    </row>
    <row r="46" ht="15" customHeight="1">
      <c r="G46" s="21" t="n"/>
      <c r="H46" s="21" t="n"/>
      <c r="I46" s="21" t="n"/>
      <c r="J46" s="21" t="n"/>
      <c r="K46" s="21" t="n"/>
      <c r="L46" s="21" t="n"/>
      <c r="M46" s="21" t="n"/>
      <c r="N46" s="21" t="n"/>
      <c r="O46" s="50" t="n"/>
      <c r="U46" s="51" t="n"/>
      <c r="V46" s="50" t="n"/>
      <c r="AB46" s="51" t="n"/>
      <c r="AC46" s="50" t="n"/>
      <c r="AO46" s="51" t="n"/>
      <c r="AP46" s="50" t="n"/>
      <c r="AV46" s="51" t="n"/>
      <c r="AW46" s="50" t="n"/>
      <c r="BC46" s="51" t="n"/>
      <c r="BD46" s="50" t="n"/>
      <c r="BJ46" s="51" t="n"/>
    </row>
    <row r="47" ht="15" customHeight="1">
      <c r="G47" s="21" t="n"/>
      <c r="H47" s="21" t="n"/>
      <c r="I47" s="21" t="n"/>
      <c r="J47" s="21" t="n"/>
      <c r="K47" s="21" t="n"/>
      <c r="L47" s="21" t="n"/>
      <c r="M47" s="21" t="n"/>
      <c r="N47" s="21" t="n"/>
      <c r="O47" s="52" t="n"/>
      <c r="P47" s="53" t="n"/>
      <c r="Q47" s="53" t="n"/>
      <c r="R47" s="53" t="n"/>
      <c r="S47" s="53" t="n"/>
      <c r="T47" s="53" t="n"/>
      <c r="U47" s="54" t="n"/>
      <c r="V47" s="52" t="n"/>
      <c r="W47" s="53" t="n"/>
      <c r="X47" s="53" t="n"/>
      <c r="Y47" s="53" t="n"/>
      <c r="Z47" s="53" t="n"/>
      <c r="AA47" s="53" t="n"/>
      <c r="AB47" s="54" t="n"/>
      <c r="AC47" s="52" t="n"/>
      <c r="AD47" s="53" t="n"/>
      <c r="AE47" s="53" t="n"/>
      <c r="AF47" s="53" t="n"/>
      <c r="AG47" s="53" t="n"/>
      <c r="AH47" s="53" t="n"/>
      <c r="AI47" s="53" t="n"/>
      <c r="AJ47" s="53" t="n"/>
      <c r="AK47" s="53" t="n"/>
      <c r="AL47" s="53" t="n"/>
      <c r="AM47" s="53" t="n"/>
      <c r="AN47" s="53" t="n"/>
      <c r="AO47" s="54" t="n"/>
      <c r="AP47" s="52" t="n"/>
      <c r="AQ47" s="53" t="n"/>
      <c r="AR47" s="53" t="n"/>
      <c r="AS47" s="53" t="n"/>
      <c r="AT47" s="53" t="n"/>
      <c r="AU47" s="53" t="n"/>
      <c r="AV47" s="54" t="n"/>
      <c r="AW47" s="52" t="n"/>
      <c r="AX47" s="53" t="n"/>
      <c r="AY47" s="53" t="n"/>
      <c r="AZ47" s="53" t="n"/>
      <c r="BA47" s="53" t="n"/>
      <c r="BB47" s="53" t="n"/>
      <c r="BC47" s="54" t="n"/>
      <c r="BD47" s="52" t="n"/>
      <c r="BE47" s="53" t="n"/>
      <c r="BF47" s="53" t="n"/>
      <c r="BG47" s="53" t="n"/>
      <c r="BH47" s="53" t="n"/>
      <c r="BI47" s="53" t="n"/>
      <c r="BJ47" s="54" t="n"/>
    </row>
    <row r="48" ht="15" customHeight="1">
      <c r="O48" s="19" t="n"/>
      <c r="V48" s="19" t="n"/>
      <c r="AC48" s="19" t="n"/>
      <c r="AP48" s="19" t="n"/>
      <c r="AW48" s="19" t="n"/>
      <c r="BD48" s="19" t="n"/>
    </row>
    <row r="49" ht="15" customHeight="1"/>
    <row r="50" ht="15" customHeight="1"/>
    <row r="52" ht="15" customHeight="1">
      <c r="BH52" s="8" t="n"/>
      <c r="BI52" s="8" t="n"/>
      <c r="BJ52" s="8" t="n"/>
      <c r="BK52" s="8" t="n"/>
      <c r="BL52" s="8" t="n"/>
      <c r="BM52" s="9" t="n"/>
      <c r="BN52" s="9" t="n"/>
      <c r="BO52" s="9" t="n"/>
      <c r="BP52" s="9" t="n"/>
      <c r="BQ52" s="9" t="n"/>
      <c r="BR52" s="9" t="n"/>
    </row>
    <row r="54" ht="15" customHeight="1">
      <c r="AA54" s="55" t="n"/>
      <c r="AB54" s="55" t="n"/>
      <c r="AC54" s="55" t="n"/>
      <c r="AD54" s="55" t="n"/>
      <c r="AE54" s="55" t="n"/>
      <c r="AF54" s="55" t="n"/>
      <c r="AG54" s="55" t="n"/>
      <c r="AH54" s="55" t="n"/>
      <c r="AI54" s="55" t="n"/>
      <c r="AJ54" s="55" t="n"/>
      <c r="AK54" s="55" t="n"/>
      <c r="AL54" s="55" t="n"/>
      <c r="AM54" s="55" t="n"/>
      <c r="AN54" s="55" t="n"/>
      <c r="AO54" s="55" t="n"/>
      <c r="AP54" s="11" t="n"/>
      <c r="AQ54" s="11" t="n"/>
      <c r="AR54" s="11" t="n"/>
      <c r="AW54" s="3" t="n"/>
      <c r="AX54" s="3" t="n"/>
      <c r="AY54" s="3" t="n"/>
      <c r="AZ54" s="3" t="n"/>
      <c r="BA54" s="3" t="n"/>
    </row>
  </sheetData>
  <mergeCells count="54">
    <mergeCell ref="AW42:BC44"/>
    <mergeCell ref="V45:AB47"/>
    <mergeCell ref="BO2:BZ2"/>
    <mergeCell ref="AP45:AV47"/>
    <mergeCell ref="AW45:BC47"/>
    <mergeCell ref="AP48:AV50"/>
    <mergeCell ref="O42:U44"/>
    <mergeCell ref="AF27:AS29"/>
    <mergeCell ref="BC3:BN3"/>
    <mergeCell ref="AT27:BG29"/>
    <mergeCell ref="BO3:BZ3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BO5:BZ5"/>
    <mergeCell ref="R24:AE26"/>
    <mergeCell ref="BK36:BZ36"/>
    <mergeCell ref="V42:AB44"/>
    <mergeCell ref="Z1:BB2"/>
    <mergeCell ref="BC4:BN4"/>
    <mergeCell ref="N6:Y6"/>
    <mergeCell ref="R21:AE23"/>
    <mergeCell ref="AP42:AV44"/>
    <mergeCell ref="A6:M6"/>
    <mergeCell ref="V48:AB50"/>
    <mergeCell ref="BC1:BN1"/>
    <mergeCell ref="O39:U41"/>
    <mergeCell ref="AW39:BC41"/>
    <mergeCell ref="AW48:BC50"/>
    <mergeCell ref="AP39:AV41"/>
    <mergeCell ref="BO1:BZ1"/>
    <mergeCell ref="R27:AE29"/>
    <mergeCell ref="BO4:BZ4"/>
    <mergeCell ref="O45:U47"/>
    <mergeCell ref="A1:M5"/>
    <mergeCell ref="BD42:BJ44"/>
    <mergeCell ref="AC42:AO44"/>
    <mergeCell ref="BC6:BN6"/>
    <mergeCell ref="AF21:AS23"/>
    <mergeCell ref="BC2:BN2"/>
    <mergeCell ref="AC39:AO41"/>
    <mergeCell ref="BP43:BV43"/>
    <mergeCell ref="BO6:BZ6"/>
    <mergeCell ref="BD48:BJ50"/>
    <mergeCell ref="V39:AB41"/>
    <mergeCell ref="AT21:BG23"/>
    <mergeCell ref="BD39:BJ41"/>
    <mergeCell ref="Z3:BB4"/>
  </mergeCells>
  <printOptions horizontalCentered="1" verticalCentered="1"/>
  <pageMargins left="0.1968503937007874" right="0.1968503937007874" top="0.3937007874015748" bottom="0.3937007874015748" header="0.03937007874015748" footer="0.03937007874015748"/>
  <pageSetup orientation="landscape" scale="5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30.613281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9.25" customHeight="1">
      <c r="A1" s="35" t="n"/>
      <c r="B1" s="36" t="n"/>
      <c r="C1" s="35">
        <f>PORTADA!Z1</f>
        <v/>
      </c>
      <c r="D1" s="46" t="n"/>
      <c r="E1" s="46" t="n"/>
      <c r="F1" s="46" t="n"/>
      <c r="G1" s="46" t="n"/>
      <c r="H1" s="46" t="n"/>
      <c r="I1" s="46" t="n"/>
      <c r="J1" s="46" t="n"/>
      <c r="K1" s="46" t="n"/>
      <c r="L1" s="47" t="n"/>
      <c r="M1" s="12" t="inlineStr">
        <is>
          <t>CODIGO:</t>
        </is>
      </c>
      <c r="N1" s="32">
        <f>PORTADA!BO1</f>
        <v/>
      </c>
      <c r="O1" s="47" t="n"/>
    </row>
    <row r="2" ht="29.25" customHeight="1">
      <c r="A2" s="56" t="n"/>
      <c r="B2" s="56" t="n"/>
      <c r="C2" s="35">
        <f>PORTADA!Z3</f>
        <v/>
      </c>
      <c r="D2" s="44" t="n"/>
      <c r="E2" s="44" t="n"/>
      <c r="F2" s="44" t="n"/>
      <c r="G2" s="44" t="n"/>
      <c r="H2" s="44" t="n"/>
      <c r="I2" s="44" t="n"/>
      <c r="J2" s="44" t="n"/>
      <c r="K2" s="44" t="n"/>
      <c r="L2" s="45" t="n"/>
      <c r="M2" s="12" t="inlineStr">
        <is>
          <t>REVISION:</t>
        </is>
      </c>
      <c r="N2" s="32">
        <f>PORTADA!BO2</f>
        <v/>
      </c>
      <c r="O2" s="47" t="n"/>
    </row>
    <row r="3" ht="29.25" customHeight="1">
      <c r="A3" s="56" t="n"/>
      <c r="B3" s="56" t="n"/>
      <c r="C3" s="52" t="n"/>
      <c r="D3" s="53" t="n"/>
      <c r="E3" s="53" t="n"/>
      <c r="F3" s="53" t="n"/>
      <c r="G3" s="53" t="n"/>
      <c r="H3" s="53" t="n"/>
      <c r="I3" s="53" t="n"/>
      <c r="J3" s="53" t="n"/>
      <c r="K3" s="53" t="n"/>
      <c r="L3" s="54" t="n"/>
      <c r="M3" s="12" t="inlineStr">
        <is>
          <t>FECHA:</t>
        </is>
      </c>
      <c r="N3" s="32">
        <f>PORTADA!BO3</f>
        <v/>
      </c>
      <c r="O3" s="47" t="n"/>
    </row>
    <row r="4" ht="29.25" customHeight="1">
      <c r="A4" s="56" t="n"/>
      <c r="B4" s="56" t="n"/>
      <c r="C4" s="35">
        <f>PORTADA!Z5</f>
        <v/>
      </c>
      <c r="D4" s="44" t="n"/>
      <c r="E4" s="44" t="n"/>
      <c r="F4" s="44" t="n"/>
      <c r="G4" s="44" t="n"/>
      <c r="H4" s="44" t="n"/>
      <c r="I4" s="44" t="n"/>
      <c r="J4" s="44" t="n"/>
      <c r="K4" s="44" t="n"/>
      <c r="L4" s="45" t="n"/>
      <c r="M4" s="12" t="inlineStr">
        <is>
          <t>ELABORO:</t>
        </is>
      </c>
      <c r="N4" s="32">
        <f>PORTADA!BO4</f>
        <v/>
      </c>
      <c r="O4" s="47" t="n"/>
    </row>
    <row r="5" ht="29.25" customHeight="1">
      <c r="A5" s="57" t="n"/>
      <c r="B5" s="57" t="n"/>
      <c r="C5" s="50" t="n"/>
      <c r="L5" s="51" t="n"/>
      <c r="M5" s="12" t="inlineStr">
        <is>
          <t xml:space="preserve">REVISO:      </t>
        </is>
      </c>
      <c r="N5" s="32">
        <f>PORTADA!BO5</f>
        <v/>
      </c>
      <c r="O5" s="47" t="n"/>
    </row>
    <row r="6" ht="29.25" customHeight="1">
      <c r="A6" s="12" t="inlineStr">
        <is>
          <t>PROYECTO:</t>
        </is>
      </c>
      <c r="B6" s="35">
        <f>PORTADA!N6</f>
        <v/>
      </c>
      <c r="C6" s="52" t="n"/>
      <c r="D6" s="53" t="n"/>
      <c r="E6" s="53" t="n"/>
      <c r="F6" s="53" t="n"/>
      <c r="G6" s="53" t="n"/>
      <c r="H6" s="53" t="n"/>
      <c r="I6" s="53" t="n"/>
      <c r="J6" s="53" t="n"/>
      <c r="K6" s="53" t="n"/>
      <c r="L6" s="54" t="n"/>
      <c r="M6" s="12" t="inlineStr">
        <is>
          <t>APROBO:</t>
        </is>
      </c>
      <c r="N6" s="32">
        <f>PORTADA!BO6</f>
        <v/>
      </c>
      <c r="O6" s="47" t="n"/>
    </row>
    <row r="7" ht="25" customHeight="1">
      <c r="A7" s="18" t="n">
        <v>1</v>
      </c>
      <c r="B7" s="18" t="n">
        <v>2</v>
      </c>
      <c r="C7" s="18" t="n">
        <v>3</v>
      </c>
      <c r="D7" s="18" t="n">
        <v>4</v>
      </c>
      <c r="E7" s="18" t="n">
        <v>5</v>
      </c>
      <c r="F7" s="18" t="n">
        <v>6</v>
      </c>
      <c r="G7" s="18" t="n">
        <v>7</v>
      </c>
      <c r="H7" s="18" t="n">
        <v>8</v>
      </c>
      <c r="I7" s="18" t="n">
        <v>9</v>
      </c>
      <c r="J7" s="18" t="n">
        <v>10</v>
      </c>
      <c r="K7" s="18" t="n">
        <v>11</v>
      </c>
      <c r="L7" s="18" t="n">
        <v>12</v>
      </c>
      <c r="M7" s="18" t="n">
        <v>13</v>
      </c>
      <c r="N7" s="18" t="n">
        <v>14</v>
      </c>
      <c r="O7" s="18" t="n">
        <v>15</v>
      </c>
    </row>
    <row r="9">
      <c r="A9" s="58" t="inlineStr">
        <is>
          <t>Hoja de datos: instrumentos de presión diferencial y control de presurización</t>
        </is>
      </c>
    </row>
    <row r="10">
      <c r="A10" s="59" t="inlineStr">
        <is>
          <t>Campo</t>
        </is>
      </c>
      <c r="B10" s="59" t="n"/>
      <c r="C10" s="59" t="n"/>
      <c r="D10" s="59" t="n"/>
      <c r="E10" s="59" t="n"/>
      <c r="F10" s="59" t="n"/>
      <c r="G10" s="59" t="n"/>
      <c r="H10" s="59" t="n"/>
      <c r="I10" s="59" t="inlineStr">
        <is>
          <t>Valor</t>
        </is>
      </c>
      <c r="J10" s="59" t="n"/>
      <c r="K10" s="59" t="n"/>
      <c r="L10" s="59" t="n"/>
      <c r="M10" s="59" t="n"/>
      <c r="N10" s="59" t="n"/>
      <c r="O10" s="59" t="n"/>
    </row>
    <row r="11">
      <c r="A11" s="60" t="inlineStr">
        <is>
          <t>Código</t>
        </is>
      </c>
      <c r="B11" s="61" t="n"/>
      <c r="C11" s="61" t="n"/>
      <c r="D11" s="61" t="n"/>
      <c r="E11" s="61" t="n"/>
      <c r="F11" s="61" t="n"/>
      <c r="G11" s="61" t="n"/>
      <c r="H11" s="61" t="n"/>
      <c r="I11" s="60" t="inlineStr">
        <is>
          <t>HD-INST-001</t>
        </is>
      </c>
      <c r="J11" s="61" t="n"/>
      <c r="K11" s="61" t="n"/>
      <c r="L11" s="61" t="n"/>
      <c r="M11" s="61" t="n"/>
      <c r="N11" s="61" t="n"/>
      <c r="O11" s="61" t="n"/>
    </row>
    <row r="12">
      <c r="A12" s="60" t="inlineStr">
        <is>
          <t>Revisión</t>
        </is>
      </c>
      <c r="B12" s="61" t="n"/>
      <c r="C12" s="61" t="n"/>
      <c r="D12" s="61" t="n"/>
      <c r="E12" s="61" t="n"/>
      <c r="F12" s="61" t="n"/>
      <c r="G12" s="61" t="n"/>
      <c r="H12" s="61" t="n"/>
      <c r="I12" s="60" t="inlineStr">
        <is>
          <t>0</t>
        </is>
      </c>
      <c r="J12" s="61" t="n"/>
      <c r="K12" s="61" t="n"/>
      <c r="L12" s="61" t="n"/>
      <c r="M12" s="61" t="n"/>
      <c r="N12" s="61" t="n"/>
      <c r="O12" s="61" t="n"/>
    </row>
    <row r="13">
      <c r="A13" s="60" t="inlineStr">
        <is>
          <t>Fecha</t>
        </is>
      </c>
      <c r="B13" s="61" t="n"/>
      <c r="C13" s="61" t="n"/>
      <c r="D13" s="61" t="n"/>
      <c r="E13" s="61" t="n"/>
      <c r="F13" s="61" t="n"/>
      <c r="G13" s="61" t="n"/>
      <c r="H13" s="61" t="n"/>
      <c r="I13" s="60" t="inlineStr">
        <is>
          <t>2026-07-23</t>
        </is>
      </c>
      <c r="J13" s="61" t="n"/>
      <c r="K13" s="61" t="n"/>
      <c r="L13" s="61" t="n"/>
      <c r="M13" s="61" t="n"/>
      <c r="N13" s="61" t="n"/>
      <c r="O13" s="61" t="n"/>
    </row>
    <row r="14">
      <c r="A14" s="60" t="inlineStr">
        <is>
          <t>Proyecto</t>
        </is>
      </c>
      <c r="B14" s="61" t="n"/>
      <c r="C14" s="61" t="n"/>
      <c r="D14" s="61" t="n"/>
      <c r="E14" s="61" t="n"/>
      <c r="F14" s="61" t="n"/>
      <c r="G14" s="61" t="n"/>
      <c r="H14" s="61" t="n"/>
      <c r="I14" s="60" t="inlineStr">
        <is>
          <t>P2437-HV-INF-001 — BRINSA, laboratorio de análisis industrial, Cajicá</t>
        </is>
      </c>
      <c r="J14" s="61" t="n"/>
      <c r="K14" s="61" t="n"/>
      <c r="L14" s="61" t="n"/>
      <c r="M14" s="61" t="n"/>
      <c r="N14" s="61" t="n"/>
      <c r="O14" s="61" t="n"/>
    </row>
    <row r="15">
      <c r="A15" s="60" t="inlineStr">
        <is>
          <t>Etiquetas</t>
        </is>
      </c>
      <c r="B15" s="61" t="n"/>
      <c r="C15" s="61" t="n"/>
      <c r="D15" s="61" t="n"/>
      <c r="E15" s="61" t="n"/>
      <c r="F15" s="61" t="n"/>
      <c r="G15" s="61" t="n"/>
      <c r="H15" s="61" t="n"/>
      <c r="I15" s="60" t="inlineStr">
        <is>
          <t>PDT-001 (transmisor), PDI-001 (indicador local), PDSV-001 (damper de alivio barométrico)</t>
        </is>
      </c>
      <c r="J15" s="61" t="n"/>
      <c r="K15" s="61" t="n"/>
      <c r="L15" s="61" t="n"/>
      <c r="M15" s="61" t="n"/>
      <c r="N15" s="61" t="n"/>
      <c r="O15" s="61" t="n"/>
    </row>
    <row r="18">
      <c r="A18" s="62" t="inlineStr">
        <is>
          <t>1. Servicio</t>
        </is>
      </c>
    </row>
    <row r="19">
      <c r="A19" s="63" t="inlineStr">
        <is>
          <t>1.1. Medición, indicación, alarma y control pasivo de la presurización positiva del laboratorio: set-point +25 Pa, mínimo admisible +12.5 Pa, respecto a la referencia exterior. La referencia exterior queda expuesta a atmósfera clorada y viento; las tomas de impulso requieren protección (§5).</t>
        </is>
      </c>
    </row>
    <row r="20"/>
    <row r="21"/>
    <row r="23">
      <c r="A23" s="62" t="inlineStr">
        <is>
          <t>2. Arquitectura del lazo</t>
        </is>
      </c>
    </row>
    <row r="24">
      <c r="A24" s="63" t="inlineStr">
        <is>
          <t>2.1. Secuencia: el transmisor PDT-001 mide el diferencial interior–exterior y entrega 4-20 mA al PLC/BMS del cliente (o a relés autónomos); el indicador local PDI-001 permite verificación visual continua; el elemento final de control es el damper barométrico PDSV-001, cuyo contrapeso se calibra para abrir cuando el diferencial supera +25 Pa, descargando el exceso de caudal y estabilizando la presión de sala. Con filtro limpio (ΔP total 95 Pa en el sitio) el damper trabaja más abierto; con filtro cargado (190 Pa en el sitio) cierra y mantiene la consigna — compensación pasiva que hace al damper obligatorio (informe_investigacion.md §5.2).</t>
        </is>
      </c>
    </row>
    <row r="25"/>
    <row r="26"/>
    <row r="27"/>
    <row r="28"/>
    <row r="29"/>
    <row r="30">
      <c r="A30" s="63" t="inlineStr">
        <is>
          <t>2.2. El esquema corresponde al lazo documentado para presurización de edificios: sensor diferencial interior–exterior supervisando el elemento de alivio (Trane ADM-APN003 (https://www.trane.com/content/dam/Trane/Commercial/global/products-systems/education-training/engineers-newsletters/airside-design/admapn003en_0502.pdf), consulta 2026-07-23). Dado que el contrapeso actúa sobre diferencial de presión y no sobre caudal, el ajuste a +25 Pa es válido a la altitud del sitio; la posición de equilibrio cambia con la densidad, por lo que la calibración final se realiza en comisionamiento con micromanómetro (práctica documentada por Halton BRD (https://www.halton.com/app/uploads/2020/08/Halton-BRD-datasheet-2024.pdf), consulta 2026-07-23).</t>
        </is>
      </c>
    </row>
    <row r="31"/>
    <row r="32"/>
    <row r="33"/>
    <row r="34"/>
    <row r="35"/>
    <row r="36"/>
    <row r="37">
      <c r="A37" s="64" t="inlineStr">
        <is>
          <t>Tabla 1. Puntos de consigna y alarmas.</t>
        </is>
      </c>
    </row>
    <row r="38">
      <c r="A38" s="59" t="inlineStr">
        <is>
          <t>Parámetro</t>
        </is>
      </c>
      <c r="B38" s="59" t="n"/>
      <c r="C38" s="59" t="n"/>
      <c r="D38" s="59" t="n"/>
      <c r="E38" s="59" t="n"/>
      <c r="F38" s="59" t="inlineStr">
        <is>
          <t>Valor</t>
        </is>
      </c>
      <c r="G38" s="59" t="n"/>
      <c r="H38" s="59" t="n"/>
      <c r="I38" s="59" t="n"/>
      <c r="J38" s="59" t="n"/>
      <c r="K38" s="59" t="inlineStr">
        <is>
          <t>Acción</t>
        </is>
      </c>
      <c r="L38" s="59" t="n"/>
      <c r="M38" s="59" t="n"/>
      <c r="N38" s="59" t="n"/>
      <c r="O38" s="59" t="n"/>
    </row>
    <row r="39">
      <c r="A39" s="60" t="inlineStr">
        <is>
          <t>Set-point de presurización</t>
        </is>
      </c>
      <c r="B39" s="61" t="n"/>
      <c r="C39" s="61" t="n"/>
      <c r="D39" s="61" t="n"/>
      <c r="E39" s="61" t="n"/>
      <c r="F39" s="60" t="inlineStr">
        <is>
          <t>+25 Pa</t>
        </is>
      </c>
      <c r="G39" s="61" t="n"/>
      <c r="H39" s="61" t="n"/>
      <c r="I39" s="61" t="n"/>
      <c r="J39" s="61" t="n"/>
      <c r="K39" s="60" t="inlineStr">
        <is>
          <t>Ajuste del contrapeso del damper PDSV-001</t>
        </is>
      </c>
      <c r="L39" s="61" t="n"/>
      <c r="M39" s="61" t="n"/>
      <c r="N39" s="61" t="n"/>
      <c r="O39" s="61" t="n"/>
    </row>
    <row r="40">
      <c r="A40" s="60" t="inlineStr">
        <is>
          <t>Alarma baja</t>
        </is>
      </c>
      <c r="B40" s="61" t="n"/>
      <c r="C40" s="61" t="n"/>
      <c r="D40" s="61" t="n"/>
      <c r="E40" s="61" t="n"/>
      <c r="F40" s="60" t="inlineStr">
        <is>
          <t>+12.5 Pa</t>
        </is>
      </c>
      <c r="G40" s="61" t="n"/>
      <c r="H40" s="61" t="n"/>
      <c r="I40" s="61" t="n"/>
      <c r="J40" s="61" t="n"/>
      <c r="K40" s="60" t="inlineStr">
        <is>
          <t>Pérdida de presurización: riesgo de ingreso de insectos, polvo y cloro</t>
        </is>
      </c>
      <c r="L40" s="61" t="n"/>
      <c r="M40" s="61" t="n"/>
      <c r="N40" s="61" t="n"/>
      <c r="O40" s="61" t="n"/>
    </row>
    <row r="41">
      <c r="A41" s="60" t="inlineStr">
        <is>
          <t>Alarma alta</t>
        </is>
      </c>
      <c r="B41" s="61" t="n"/>
      <c r="C41" s="61" t="n"/>
      <c r="D41" s="61" t="n"/>
      <c r="E41" s="61" t="n"/>
      <c r="F41" s="60" t="inlineStr">
        <is>
          <t>+40 Pa</t>
        </is>
      </c>
      <c r="G41" s="61" t="n"/>
      <c r="H41" s="61" t="n"/>
      <c r="I41" s="61" t="n"/>
      <c r="J41" s="61" t="n"/>
      <c r="K41" s="60" t="inlineStr">
        <is>
          <t>Damper atascado o falla de exfiltración (dato típico)</t>
        </is>
      </c>
      <c r="L41" s="61" t="n"/>
      <c r="M41" s="61" t="n"/>
      <c r="N41" s="61" t="n"/>
      <c r="O41" s="61" t="n"/>
    </row>
    <row r="42">
      <c r="A42" s="60" t="inlineStr">
        <is>
          <t>Retardo de alarmas</t>
        </is>
      </c>
      <c r="B42" s="61" t="n"/>
      <c r="C42" s="61" t="n"/>
      <c r="D42" s="61" t="n"/>
      <c r="E42" s="61" t="n"/>
      <c r="F42" s="60" t="inlineStr">
        <is>
          <t>30-60 s</t>
        </is>
      </c>
      <c r="G42" s="61" t="n"/>
      <c r="H42" s="61" t="n"/>
      <c r="I42" s="61" t="n"/>
      <c r="J42" s="61" t="n"/>
      <c r="K42" s="60" t="inlineStr">
        <is>
          <t>Evita falsas alarmas por apertura de puerta (dato típico)</t>
        </is>
      </c>
      <c r="L42" s="61" t="n"/>
      <c r="M42" s="61" t="n"/>
      <c r="N42" s="61" t="n"/>
      <c r="O42" s="61" t="n"/>
    </row>
    <row r="43">
      <c r="A43" s="60" t="inlineStr">
        <is>
          <t>Límite superior absoluto</t>
        </is>
      </c>
      <c r="B43" s="61" t="n"/>
      <c r="C43" s="61" t="n"/>
      <c r="D43" s="61" t="n"/>
      <c r="E43" s="61" t="n"/>
      <c r="F43" s="60" t="inlineStr">
        <is>
          <t>≈60 Pa</t>
        </is>
      </c>
      <c r="G43" s="61" t="n"/>
      <c r="H43" s="61" t="n"/>
      <c r="I43" s="61" t="n"/>
      <c r="J43" s="61" t="n"/>
      <c r="K43" s="60" t="inlineStr">
        <is>
          <t>Fuerza de apertura de puertas (referencia IBC 1009.3; dato típico)</t>
        </is>
      </c>
      <c r="L43" s="61" t="n"/>
      <c r="M43" s="61" t="n"/>
      <c r="N43" s="61" t="n"/>
      <c r="O43" s="61" t="n"/>
    </row>
    <row r="45">
      <c r="A45" s="63" t="inlineStr">
        <is>
          <t>2.3. El lazo activo (variador de frecuencia o damper motorizado) solo se justifica con aperturas frecuentes de puerta o exigencia de registro BMS (AIVC airbase_7469 (PDF) (https://www.aivc.org/sites/default/files/airbase_7469.pdf), consulta 2026-07-23); para el set-point fijo de este proyecto se adopta la solución pasiva de máxima confiabilidad.</t>
        </is>
      </c>
    </row>
    <row r="46"/>
    <row r="47"/>
    <row r="49">
      <c r="A49" s="62" t="inlineStr">
        <is>
          <t>3. Transmisor de presión diferencial (PDT-001)</t>
        </is>
      </c>
    </row>
    <row r="50">
      <c r="A50" s="64" t="inlineStr">
        <is>
          <t>Tabla 2. Especificación y candidatos (consulta 2026-07-23).</t>
        </is>
      </c>
    </row>
    <row r="51">
      <c r="A51" s="59" t="inlineStr">
        <is>
          <t>Parámetro</t>
        </is>
      </c>
      <c r="B51" s="59" t="n"/>
      <c r="C51" s="59" t="n"/>
      <c r="D51" s="59" t="n"/>
      <c r="E51" s="59" t="n"/>
      <c r="F51" s="59" t="n"/>
      <c r="G51" s="59" t="n"/>
      <c r="H51" s="59" t="n"/>
      <c r="I51" s="59" t="inlineStr">
        <is>
          <t>Especificación / candidatos</t>
        </is>
      </c>
      <c r="J51" s="59" t="n"/>
      <c r="K51" s="59" t="n"/>
      <c r="L51" s="59" t="n"/>
      <c r="M51" s="59" t="n"/>
      <c r="N51" s="59" t="n"/>
      <c r="O51" s="59" t="n"/>
    </row>
    <row r="52">
      <c r="A52" s="60" t="inlineStr">
        <is>
          <t>Rango</t>
        </is>
      </c>
      <c r="B52" s="61" t="n"/>
      <c r="C52" s="61" t="n"/>
      <c r="D52" s="61" t="n"/>
      <c r="E52" s="61" t="n"/>
      <c r="F52" s="61" t="n"/>
      <c r="G52" s="61" t="n"/>
      <c r="H52" s="61" t="n"/>
      <c r="I52" s="60" t="inlineStr">
        <is>
          <t>0-62.5 Pa (0-0.25 in c.a.); set-point al 40 % de escala</t>
        </is>
      </c>
      <c r="J52" s="61" t="n"/>
      <c r="K52" s="61" t="n"/>
      <c r="L52" s="61" t="n"/>
      <c r="M52" s="61" t="n"/>
      <c r="N52" s="61" t="n"/>
      <c r="O52" s="61" t="n"/>
    </row>
    <row r="53">
      <c r="A53" s="60" t="inlineStr">
        <is>
          <t>Salida</t>
        </is>
      </c>
      <c r="B53" s="61" t="n"/>
      <c r="C53" s="61" t="n"/>
      <c r="D53" s="61" t="n"/>
      <c r="E53" s="61" t="n"/>
      <c r="F53" s="61" t="n"/>
      <c r="G53" s="61" t="n"/>
      <c r="H53" s="61" t="n"/>
      <c r="I53" s="60" t="inlineStr">
        <is>
          <t>4-20 mA, 2 hilos</t>
        </is>
      </c>
      <c r="J53" s="61" t="n"/>
      <c r="K53" s="61" t="n"/>
      <c r="L53" s="61" t="n"/>
      <c r="M53" s="61" t="n"/>
      <c r="N53" s="61" t="n"/>
      <c r="O53" s="61" t="n"/>
    </row>
    <row r="54">
      <c r="A54" s="60" t="inlineStr">
        <is>
          <t>Precisión</t>
        </is>
      </c>
      <c r="B54" s="61" t="n"/>
      <c r="C54" s="61" t="n"/>
      <c r="D54" s="61" t="n"/>
      <c r="E54" s="61" t="n"/>
      <c r="F54" s="61" t="n"/>
      <c r="G54" s="61" t="n"/>
      <c r="H54" s="61" t="n"/>
      <c r="I54" s="60" t="inlineStr">
        <is>
          <t>±1 % FS o mejor</t>
        </is>
      </c>
      <c r="J54" s="61" t="n"/>
      <c r="K54" s="61" t="n"/>
      <c r="L54" s="61" t="n"/>
      <c r="M54" s="61" t="n"/>
      <c r="N54" s="61" t="n"/>
      <c r="O54" s="61" t="n"/>
    </row>
    <row r="55">
      <c r="A55" s="60" t="inlineStr">
        <is>
          <t>Protección</t>
        </is>
      </c>
      <c r="B55" s="61" t="n"/>
      <c r="C55" s="61" t="n"/>
      <c r="D55" s="61" t="n"/>
      <c r="E55" s="61" t="n"/>
      <c r="F55" s="61" t="n"/>
      <c r="G55" s="61" t="n"/>
      <c r="H55" s="61" t="n"/>
      <c r="I55" s="60" t="inlineStr">
        <is>
          <t>NEMA 4X (IP66); montaje en interior, toma exterior protegida</t>
        </is>
      </c>
      <c r="J55" s="61" t="n"/>
      <c r="K55" s="61" t="n"/>
      <c r="L55" s="61" t="n"/>
      <c r="M55" s="61" t="n"/>
      <c r="N55" s="61" t="n"/>
      <c r="O55" s="61" t="n"/>
    </row>
    <row r="56">
      <c r="A56" s="60" t="inlineStr">
        <is>
          <t>Constante de tiempo</t>
        </is>
      </c>
      <c r="B56" s="61" t="n"/>
      <c r="C56" s="61" t="n"/>
      <c r="D56" s="61" t="n"/>
      <c r="E56" s="61" t="n"/>
      <c r="F56" s="61" t="n"/>
      <c r="G56" s="61" t="n"/>
      <c r="H56" s="61" t="n"/>
      <c r="I56" s="60" t="inlineStr">
        <is>
          <t>Ajustable 0.5-15 s (amortigua ráfagas de viento en la referencia)</t>
        </is>
      </c>
      <c r="J56" s="61" t="n"/>
      <c r="K56" s="61" t="n"/>
      <c r="L56" s="61" t="n"/>
      <c r="M56" s="61" t="n"/>
      <c r="N56" s="61" t="n"/>
      <c r="O56" s="61" t="n"/>
    </row>
    <row r="57">
      <c r="A57" s="60" t="inlineStr">
        <is>
          <t>Primera opción</t>
        </is>
      </c>
      <c r="B57" s="61" t="n"/>
      <c r="C57" s="61" t="n"/>
      <c r="D57" s="61" t="n"/>
      <c r="E57" s="61" t="n"/>
      <c r="F57" s="61" t="n"/>
      <c r="G57" s="61" t="n"/>
      <c r="H57" s="61" t="n"/>
      <c r="I57" s="60" t="inlineStr">
        <is>
          <t>Dwyer MS-121(-LCD) Magnesense: rangos seleccionables 25/62.5/125 Pa, ±1 % FS, NEMA 4X (catálogo (PDF) (https://www.transcat.com/media/pdf/MS_cat.pdf))</t>
        </is>
      </c>
      <c r="J57" s="61" t="n"/>
      <c r="K57" s="61" t="n"/>
      <c r="L57" s="61" t="n"/>
      <c r="M57" s="61" t="n"/>
      <c r="N57" s="61" t="n"/>
      <c r="O57" s="61" t="n"/>
    </row>
    <row r="58">
      <c r="A58" s="60" t="inlineStr">
        <is>
          <t>Alternativa premium</t>
        </is>
      </c>
      <c r="B58" s="61" t="n"/>
      <c r="C58" s="61" t="n"/>
      <c r="D58" s="61" t="n"/>
      <c r="E58" s="61" t="n"/>
      <c r="F58" s="61" t="n"/>
      <c r="G58" s="61" t="n"/>
      <c r="H58" s="61" t="n"/>
      <c r="I58" s="60" t="inlineStr">
        <is>
          <t>Setra 264, rango 0-0.25 in c.a., ±0.25/±0.4/±1 % FS, elemento capacitivo inox (datasheet (PDF) (https://www.setra.com/hubfs/Product_Data_Sheets/Setra_Model_264_Data_Sheet.pdf)); suministro por importación, por confirmar stock</t>
        </is>
      </c>
      <c r="J58" s="61" t="n"/>
      <c r="K58" s="61" t="n"/>
      <c r="L58" s="61" t="n"/>
      <c r="M58" s="61" t="n"/>
      <c r="N58" s="61" t="n"/>
      <c r="O58" s="61" t="n"/>
    </row>
    <row r="59">
      <c r="A59" s="60" t="inlineStr">
        <is>
          <t>Alternativa BMS Siemens</t>
        </is>
      </c>
      <c r="B59" s="61" t="n"/>
      <c r="C59" s="61" t="n"/>
      <c r="D59" s="61" t="n"/>
      <c r="E59" s="61" t="n"/>
      <c r="F59" s="61" t="n"/>
      <c r="G59" s="61" t="n"/>
      <c r="H59" s="61" t="n"/>
      <c r="I59" s="60" t="inlineStr">
        <is>
          <t>Siemens QBM2130-1U, 0-100 Pa, 4-20 mA, IP42 (exige gabinete adicional) (Industry Mall (https://mall.industry.siemens.com/mall/en/WW/Catalog/Products/10510770))</t>
        </is>
      </c>
      <c r="J59" s="61" t="n"/>
      <c r="K59" s="61" t="n"/>
      <c r="L59" s="61" t="n"/>
      <c r="M59" s="61" t="n"/>
      <c r="N59" s="61" t="n"/>
      <c r="O59" s="61" t="n"/>
    </row>
    <row r="62">
      <c r="A62" s="62" t="inlineStr">
        <is>
          <t>4. Indicador local (PDI-001)</t>
        </is>
      </c>
    </row>
    <row r="63">
      <c r="A63" s="64" t="inlineStr">
        <is>
          <t>Tabla 3. Especificación del manómetro diferencial (consulta 2026-07-23).</t>
        </is>
      </c>
    </row>
    <row r="64">
      <c r="A64" s="59" t="inlineStr">
        <is>
          <t>Parámetro</t>
        </is>
      </c>
      <c r="B64" s="59" t="n"/>
      <c r="C64" s="59" t="n"/>
      <c r="D64" s="59" t="n"/>
      <c r="E64" s="59" t="n"/>
      <c r="F64" s="59" t="n"/>
      <c r="G64" s="59" t="n"/>
      <c r="H64" s="59" t="n"/>
      <c r="I64" s="59" t="inlineStr">
        <is>
          <t>Especificación</t>
        </is>
      </c>
      <c r="J64" s="59" t="n"/>
      <c r="K64" s="59" t="n"/>
      <c r="L64" s="59" t="n"/>
      <c r="M64" s="59" t="n"/>
      <c r="N64" s="59" t="n"/>
      <c r="O64" s="59" t="n"/>
    </row>
    <row r="65">
      <c r="A65" s="60" t="inlineStr">
        <is>
          <t>Modelo de referencia</t>
        </is>
      </c>
      <c r="B65" s="61" t="n"/>
      <c r="C65" s="61" t="n"/>
      <c r="D65" s="61" t="n"/>
      <c r="E65" s="61" t="n"/>
      <c r="F65" s="61" t="n"/>
      <c r="G65" s="61" t="n"/>
      <c r="H65" s="61" t="n"/>
      <c r="I65" s="60" t="inlineStr">
        <is>
          <t>Dwyer Magnehelic serie 2000, modelo 2000-00</t>
        </is>
      </c>
      <c r="J65" s="61" t="n"/>
      <c r="K65" s="61" t="n"/>
      <c r="L65" s="61" t="n"/>
      <c r="M65" s="61" t="n"/>
      <c r="N65" s="61" t="n"/>
      <c r="O65" s="61" t="n"/>
    </row>
    <row r="66">
      <c r="A66" s="60" t="inlineStr">
        <is>
          <t>Rango</t>
        </is>
      </c>
      <c r="B66" s="61" t="n"/>
      <c r="C66" s="61" t="n"/>
      <c r="D66" s="61" t="n"/>
      <c r="E66" s="61" t="n"/>
      <c r="F66" s="61" t="n"/>
      <c r="G66" s="61" t="n"/>
      <c r="H66" s="61" t="n"/>
      <c r="I66" s="60" t="inlineStr">
        <is>
          <t>0-62 Pa (0-0.25 in c.a.); división menor 0.005 in c.a.</t>
        </is>
      </c>
      <c r="J66" s="61" t="n"/>
      <c r="K66" s="61" t="n"/>
      <c r="L66" s="61" t="n"/>
      <c r="M66" s="61" t="n"/>
      <c r="N66" s="61" t="n"/>
      <c r="O66" s="61" t="n"/>
    </row>
    <row r="67">
      <c r="A67" s="60" t="inlineStr">
        <is>
          <t>Precisión</t>
        </is>
      </c>
      <c r="B67" s="61" t="n"/>
      <c r="C67" s="61" t="n"/>
      <c r="D67" s="61" t="n"/>
      <c r="E67" s="61" t="n"/>
      <c r="F67" s="61" t="n"/>
      <c r="G67" s="61" t="n"/>
      <c r="H67" s="61" t="n"/>
      <c r="I67" s="60" t="inlineStr">
        <is>
          <t>±2 % FS</t>
        </is>
      </c>
      <c r="J67" s="61" t="n"/>
      <c r="K67" s="61" t="n"/>
      <c r="L67" s="61" t="n"/>
      <c r="M67" s="61" t="n"/>
      <c r="N67" s="61" t="n"/>
      <c r="O67" s="61" t="n"/>
    </row>
    <row r="68">
      <c r="A68" s="60" t="inlineStr">
        <is>
          <t>Construcción</t>
        </is>
      </c>
      <c r="B68" s="61" t="n"/>
      <c r="C68" s="61" t="n"/>
      <c r="D68" s="61" t="n"/>
      <c r="E68" s="61" t="n"/>
      <c r="F68" s="61" t="n"/>
      <c r="G68" s="61" t="n"/>
      <c r="H68" s="61" t="n"/>
      <c r="I68" s="60" t="inlineStr">
        <is>
          <t>Caja aluminio fundido (ensayo niebla salina 168 h); opción bisel inox (-SS); conexiones 1/8 in NPT</t>
        </is>
      </c>
      <c r="J68" s="61" t="n"/>
      <c r="K68" s="61" t="n"/>
      <c r="L68" s="61" t="n"/>
      <c r="M68" s="61" t="n"/>
      <c r="N68" s="61" t="n"/>
      <c r="O68" s="61" t="n"/>
    </row>
    <row r="69">
      <c r="A69" s="60" t="inlineStr">
        <is>
          <t>Montaje</t>
        </is>
      </c>
      <c r="B69" s="61" t="n"/>
      <c r="C69" s="61" t="n"/>
      <c r="D69" s="61" t="n"/>
      <c r="E69" s="61" t="n"/>
      <c r="F69" s="61" t="n"/>
      <c r="G69" s="61" t="n"/>
      <c r="H69" s="61" t="n"/>
      <c r="I69" s="60" t="inlineStr">
        <is>
          <t>Embutido en panel/puerta del laboratorio (interior)</t>
        </is>
      </c>
      <c r="J69" s="61" t="n"/>
      <c r="K69" s="61" t="n"/>
      <c r="L69" s="61" t="n"/>
      <c r="M69" s="61" t="n"/>
      <c r="N69" s="61" t="n"/>
      <c r="O69" s="61" t="n"/>
    </row>
    <row r="70">
      <c r="A70" s="60" t="inlineStr">
        <is>
          <t>Fuente</t>
        </is>
      </c>
      <c r="B70" s="61" t="n"/>
      <c r="C70" s="61" t="n"/>
      <c r="D70" s="61" t="n"/>
      <c r="E70" s="61" t="n"/>
      <c r="F70" s="61" t="n"/>
      <c r="G70" s="61" t="n"/>
      <c r="H70" s="61" t="n"/>
      <c r="I70" s="60" t="inlineStr">
        <is>
          <t>Skilltech — tabla serie 2000 (https://skilltech.com.br/produto/manometro-para-pressao-diferencial-magnehelic-serie-2000/)</t>
        </is>
      </c>
      <c r="J70" s="61" t="n"/>
      <c r="K70" s="61" t="n"/>
      <c r="L70" s="61" t="n"/>
      <c r="M70" s="61" t="n"/>
      <c r="N70" s="61" t="n"/>
      <c r="O70" s="61" t="n"/>
    </row>
    <row r="72">
      <c r="A72" s="63" t="inlineStr">
        <is>
          <t>4.1. Si el cliente no dispone de PLC, se sustituye/complementa con Dwyer Photohelic 3000MR-00AV (indicador + 2 relés SPDT, rango 0-0.25 in c.a.; Northeast Controls (https://nciweb.net/pressure1.htm), consulta 2026-07-23), que genera las alarmas de la Tabla 1 de forma autónoma.</t>
        </is>
      </c>
    </row>
    <row r="73"/>
    <row r="74"/>
    <row r="76">
      <c r="A76" s="62" t="inlineStr">
        <is>
          <t>5. Damper de alivio barométrico (PDSV-001)</t>
        </is>
      </c>
    </row>
    <row r="77">
      <c r="A77" s="64" t="inlineStr">
        <is>
          <t>Tabla 4. Especificación y candidatos (consulta 2026-07-23).</t>
        </is>
      </c>
    </row>
    <row r="78">
      <c r="A78" s="59" t="inlineStr">
        <is>
          <t>Parámetro</t>
        </is>
      </c>
      <c r="B78" s="59" t="n"/>
      <c r="C78" s="59" t="n"/>
      <c r="D78" s="59" t="n"/>
      <c r="E78" s="59" t="n"/>
      <c r="F78" s="59" t="n"/>
      <c r="G78" s="59" t="n"/>
      <c r="H78" s="59" t="n"/>
      <c r="I78" s="59" t="inlineStr">
        <is>
          <t>Especificación / candidatos</t>
        </is>
      </c>
      <c r="J78" s="59" t="n"/>
      <c r="K78" s="59" t="n"/>
      <c r="L78" s="59" t="n"/>
      <c r="M78" s="59" t="n"/>
      <c r="N78" s="59" t="n"/>
      <c r="O78" s="59" t="n"/>
    </row>
    <row r="79">
      <c r="A79" s="60" t="inlineStr">
        <is>
          <t>Tipo</t>
        </is>
      </c>
      <c r="B79" s="61" t="n"/>
      <c r="C79" s="61" t="n"/>
      <c r="D79" s="61" t="n"/>
      <c r="E79" s="61" t="n"/>
      <c r="F79" s="61" t="n"/>
      <c r="G79" s="61" t="n"/>
      <c r="H79" s="61" t="n"/>
      <c r="I79" s="60" t="inlineStr">
        <is>
          <t>Barométrico de alivio, contrapeso ajustable, cierre por gravedad</t>
        </is>
      </c>
      <c r="J79" s="61" t="n"/>
      <c r="K79" s="61" t="n"/>
      <c r="L79" s="61" t="n"/>
      <c r="M79" s="61" t="n"/>
      <c r="N79" s="61" t="n"/>
      <c r="O79" s="61" t="n"/>
    </row>
    <row r="80">
      <c r="A80" s="60" t="inlineStr">
        <is>
          <t>Rango de ajuste start-open</t>
        </is>
      </c>
      <c r="B80" s="61" t="n"/>
      <c r="C80" s="61" t="n"/>
      <c r="D80" s="61" t="n"/>
      <c r="E80" s="61" t="n"/>
      <c r="F80" s="61" t="n"/>
      <c r="G80" s="61" t="n"/>
      <c r="H80" s="61" t="n"/>
      <c r="I80" s="60" t="inlineStr">
        <is>
          <t>12-75 Pa (0.05-0.30 in c.a.), que cubre el set-point de +25 Pa</t>
        </is>
      </c>
      <c r="J80" s="61" t="n"/>
      <c r="K80" s="61" t="n"/>
      <c r="L80" s="61" t="n"/>
      <c r="M80" s="61" t="n"/>
      <c r="N80" s="61" t="n"/>
      <c r="O80" s="61" t="n"/>
    </row>
    <row r="81">
      <c r="A81" s="60" t="inlineStr">
        <is>
          <t>Materiales</t>
        </is>
      </c>
      <c r="B81" s="61" t="n"/>
      <c r="C81" s="61" t="n"/>
      <c r="D81" s="61" t="n"/>
      <c r="E81" s="61" t="n"/>
      <c r="F81" s="61" t="n"/>
      <c r="G81" s="61" t="n"/>
      <c r="H81" s="61" t="n"/>
      <c r="I81" s="60" t="inlineStr">
        <is>
          <t>Aluminio extruido 6063-T5 o línea severe-environment; galvanizado descartado</t>
        </is>
      </c>
      <c r="J81" s="61" t="n"/>
      <c r="K81" s="61" t="n"/>
      <c r="L81" s="61" t="n"/>
      <c r="M81" s="61" t="n"/>
      <c r="N81" s="61" t="n"/>
      <c r="O81" s="61" t="n"/>
    </row>
    <row r="82">
      <c r="A82" s="60" t="inlineStr">
        <is>
          <t>Dimensionamiento</t>
        </is>
      </c>
      <c r="B82" s="61" t="n"/>
      <c r="C82" s="61" t="n"/>
      <c r="D82" s="61" t="n"/>
      <c r="E82" s="61" t="n"/>
      <c r="F82" s="61" t="n"/>
      <c r="G82" s="61" t="n"/>
      <c r="H82" s="61" t="n"/>
      <c r="I82" s="60" t="inlineStr">
        <is>
          <t>Caudal de alivio de diseño con velocidad facial ≤ 2.5 m/s (dato típico); tamaño final por confirmar con proveedor</t>
        </is>
      </c>
      <c r="J82" s="61" t="n"/>
      <c r="K82" s="61" t="n"/>
      <c r="L82" s="61" t="n"/>
      <c r="M82" s="61" t="n"/>
      <c r="N82" s="61" t="n"/>
      <c r="O82" s="61" t="n"/>
    </row>
    <row r="83">
      <c r="A83" s="60" t="inlineStr">
        <is>
          <t>Ensayos</t>
        </is>
      </c>
      <c r="B83" s="61" t="n"/>
      <c r="C83" s="61" t="n"/>
      <c r="D83" s="61" t="n"/>
      <c r="E83" s="61" t="n"/>
      <c r="F83" s="61" t="n"/>
      <c r="G83" s="61" t="n"/>
      <c r="H83" s="61" t="n"/>
      <c r="I83" s="60" t="inlineStr">
        <is>
          <t>AMCA 500-D (caída de presión y fuga)</t>
        </is>
      </c>
      <c r="J83" s="61" t="n"/>
      <c r="K83" s="61" t="n"/>
      <c r="L83" s="61" t="n"/>
      <c r="M83" s="61" t="n"/>
      <c r="N83" s="61" t="n"/>
      <c r="O83" s="61" t="n"/>
    </row>
    <row r="84">
      <c r="A84" s="60" t="inlineStr">
        <is>
          <t>Calibración</t>
        </is>
      </c>
      <c r="B84" s="61" t="n"/>
      <c r="C84" s="61" t="n"/>
      <c r="D84" s="61" t="n"/>
      <c r="E84" s="61" t="n"/>
      <c r="F84" s="61" t="n"/>
      <c r="G84" s="61" t="n"/>
      <c r="H84" s="61" t="n"/>
      <c r="I84" s="60" t="inlineStr">
        <is>
          <t>En comisionamiento, con micromanómetro, a +25 Pa</t>
        </is>
      </c>
      <c r="J84" s="61" t="n"/>
      <c r="K84" s="61" t="n"/>
      <c r="L84" s="61" t="n"/>
      <c r="M84" s="61" t="n"/>
      <c r="N84" s="61" t="n"/>
      <c r="O84" s="61" t="n"/>
    </row>
    <row r="85">
      <c r="A85" s="60" t="inlineStr">
        <is>
          <t>Primera opción</t>
        </is>
      </c>
      <c r="B85" s="61" t="n"/>
      <c r="C85" s="61" t="n"/>
      <c r="D85" s="61" t="n"/>
      <c r="E85" s="61" t="n"/>
      <c r="F85" s="61" t="n"/>
      <c r="G85" s="61" t="n"/>
      <c r="H85" s="61" t="n"/>
      <c r="I85" s="60" t="inlineStr">
        <is>
          <t>Greenheck SEBR-10 (severe environment; rango 0.05-0.30 in c.a.) (submittal (PDF) (https://content.greenheck.com/public/DAMProd/Original/10002/SEBR10Series_submittal.pdf)); canal Greenheck en Bogotá</t>
        </is>
      </c>
      <c r="J85" s="61" t="n"/>
      <c r="K85" s="61" t="n"/>
      <c r="L85" s="61" t="n"/>
      <c r="M85" s="61" t="n"/>
      <c r="N85" s="61" t="n"/>
      <c r="O85" s="61" t="n"/>
    </row>
    <row r="86">
      <c r="A86" s="60" t="inlineStr">
        <is>
          <t>Alternativa</t>
        </is>
      </c>
      <c r="B86" s="61" t="n"/>
      <c r="C86" s="61" t="n"/>
      <c r="D86" s="61" t="n"/>
      <c r="E86" s="61" t="n"/>
      <c r="F86" s="61" t="n"/>
      <c r="G86" s="61" t="n"/>
      <c r="H86" s="61" t="n"/>
      <c r="I86" s="60" t="inlineStr">
        <is>
          <t>Ruskin CBD6/BD6 (aluminio 6063-T5, control hasta 0.25 in c.a.) (Ruskin BD6 (https://www.ruskin.com/model/bd6))</t>
        </is>
      </c>
      <c r="J86" s="61" t="n"/>
      <c r="K86" s="61" t="n"/>
      <c r="L86" s="61" t="n"/>
      <c r="M86" s="61" t="n"/>
      <c r="N86" s="61" t="n"/>
      <c r="O86" s="61" t="n"/>
    </row>
    <row r="87">
      <c r="A87" s="60" t="inlineStr">
        <is>
          <t>Alternativa</t>
        </is>
      </c>
      <c r="B87" s="61" t="n"/>
      <c r="C87" s="61" t="n"/>
      <c r="D87" s="61" t="n"/>
      <c r="E87" s="61" t="n"/>
      <c r="F87" s="61" t="n"/>
      <c r="G87" s="61" t="n"/>
      <c r="H87" s="61" t="n"/>
      <c r="I87" s="60" t="inlineStr">
        <is>
          <t>Nailor 1390CB-EAF (contrapeso 360°, rodamientos de bolas para diferenciales muy bajos, opción aluminio) (submittal (PDF) (https://nailor.com/sites/default/files/documents/1390CB_B_0_0.pdf))</t>
        </is>
      </c>
      <c r="J87" s="61" t="n"/>
      <c r="K87" s="61" t="n"/>
      <c r="L87" s="61" t="n"/>
      <c r="M87" s="61" t="n"/>
      <c r="N87" s="61" t="n"/>
      <c r="O87" s="61" t="n"/>
    </row>
    <row r="90">
      <c r="A90" s="62" t="inlineStr">
        <is>
          <t>6. Tomas de impulso, montaje y accesorios</t>
        </is>
      </c>
    </row>
    <row r="91">
      <c r="A91" s="63" t="inlineStr">
        <is>
          <t>6.1. Toma de referencia exterior: caja estática de pared (tipo Dwyer A-417 o fabricación local inox 316, dato típico), orientada a sotavento, con purga o filtro de membrana por el ambiente clorado; tubería de impulso y conexiones 1/8 in NPT con sellante compatible.</t>
        </is>
      </c>
    </row>
    <row r="92"/>
    <row r="93"/>
    <row r="94">
      <c r="A94" s="63" t="inlineStr">
        <is>
          <t>6.2. Los instrumentos (cuerpos de aluminio fundido) se instalan en el interior de la sala o en gabinete IP66 con prensaestopas niquelados/inox; los herrajes estándar zincados se reemplazan por soportes fabricados en inox 316. Cableado de la señal 4-20 mA apantallado; protecciones y tablero conforme a RETIE/NTC 2050 (listado_equipos.md, ítems 16-17).</t>
        </is>
      </c>
    </row>
    <row r="95"/>
    <row r="96"/>
    <row r="98">
      <c r="A98" s="62" t="inlineStr">
        <is>
          <t>7. Disponibilidad en Colombia</t>
        </is>
      </c>
    </row>
    <row r="99">
      <c r="A99" s="63" t="inlineStr">
        <is>
          <t>7.1. Dwyer: Vía Industrial (Bogotá/Cali, viaindustrial.com (https://www.viaindustrial.com/dwyer/marca/)), RS Importaciones y Suministros (Bogotá, rsimportacionesysuministros.com.co (https://rsimportacionesysuministros.com.co/producto/transmisor-magnehelic-dwyer-instruments-a/)), SICO Global (sico.global (https://sico.global/productos/transmisor-medidor-de-presion-diferencial-dwyer-magnehelic-605/)) — consulta 2026-07-23. Setra y los dampers Nailor/Ruskin se gestionan por importación o representante (por confirmar); Greenheck vía Prime Lines HVAC, Bogotá.</t>
        </is>
      </c>
    </row>
    <row r="100"/>
    <row r="101"/>
    <row r="102"/>
    <row r="103"/>
    <row r="105">
      <c r="A105" s="62" t="inlineStr">
        <is>
          <t>8. Normas aplicables</t>
        </is>
      </c>
    </row>
    <row r="106">
      <c r="A106" s="63" t="inlineStr">
        <is>
          <t>8.1. AMCA 500-D (damper), ASHRAE 62.1/170 (niveles de presurización de referencia), OSHA 29 CFR 1910.1450 (buena práctica de laboratorios), RETIE y NTC 2050 (instalación eléctrica e instrumentación), Resolución 0312 de 2019 (Colombia).</t>
        </is>
      </c>
    </row>
    <row r="107"/>
  </sheetData>
  <mergeCells count="111">
    <mergeCell ref="A39:E39"/>
    <mergeCell ref="I52:O52"/>
    <mergeCell ref="A83:H83"/>
    <mergeCell ref="I83:O83"/>
    <mergeCell ref="N3:O3"/>
    <mergeCell ref="A99:O103"/>
    <mergeCell ref="A69:H69"/>
    <mergeCell ref="I69:O69"/>
    <mergeCell ref="I84:O84"/>
    <mergeCell ref="A66:H66"/>
    <mergeCell ref="K41:O41"/>
    <mergeCell ref="N5:O5"/>
    <mergeCell ref="I86:O86"/>
    <mergeCell ref="C2:L3"/>
    <mergeCell ref="I80:O80"/>
    <mergeCell ref="A55:H55"/>
    <mergeCell ref="A86:H86"/>
    <mergeCell ref="K43:O43"/>
    <mergeCell ref="I70:O70"/>
    <mergeCell ref="A72:O74"/>
    <mergeCell ref="I57:O57"/>
    <mergeCell ref="I54:O54"/>
    <mergeCell ref="F39:J39"/>
    <mergeCell ref="A43:E43"/>
    <mergeCell ref="A81:H81"/>
    <mergeCell ref="I56:O56"/>
    <mergeCell ref="I87:O87"/>
    <mergeCell ref="A13:H13"/>
    <mergeCell ref="B1:B5"/>
    <mergeCell ref="A58:H58"/>
    <mergeCell ref="A67:H67"/>
    <mergeCell ref="A15:H15"/>
    <mergeCell ref="A51:H51"/>
    <mergeCell ref="A82:H82"/>
    <mergeCell ref="I82:O82"/>
    <mergeCell ref="A30:O36"/>
    <mergeCell ref="I10:O10"/>
    <mergeCell ref="A18:O18"/>
    <mergeCell ref="I59:O59"/>
    <mergeCell ref="N2:O2"/>
    <mergeCell ref="F41:J41"/>
    <mergeCell ref="A84:H84"/>
    <mergeCell ref="A62:O62"/>
    <mergeCell ref="K40:O40"/>
    <mergeCell ref="I11:O11"/>
    <mergeCell ref="A85:H85"/>
    <mergeCell ref="A38:E38"/>
    <mergeCell ref="A98:O98"/>
    <mergeCell ref="N6:O6"/>
    <mergeCell ref="A45:O47"/>
    <mergeCell ref="A40:E40"/>
    <mergeCell ref="N4:O4"/>
    <mergeCell ref="A59:H59"/>
    <mergeCell ref="A90:O90"/>
    <mergeCell ref="A64:H64"/>
    <mergeCell ref="I64:O64"/>
    <mergeCell ref="I79:O79"/>
    <mergeCell ref="A106:O107"/>
    <mergeCell ref="I51:O51"/>
    <mergeCell ref="A79:H79"/>
    <mergeCell ref="F40:J40"/>
    <mergeCell ref="A70:H70"/>
    <mergeCell ref="A54:H54"/>
    <mergeCell ref="A76:O76"/>
    <mergeCell ref="I65:O65"/>
    <mergeCell ref="A56:H56"/>
    <mergeCell ref="A24:O29"/>
    <mergeCell ref="A91:O93"/>
    <mergeCell ref="F38:J38"/>
    <mergeCell ref="A42:E42"/>
    <mergeCell ref="I85:O85"/>
    <mergeCell ref="A1:A5"/>
    <mergeCell ref="A9:O9"/>
    <mergeCell ref="C1:L1"/>
    <mergeCell ref="K39:O39"/>
    <mergeCell ref="I66:O66"/>
    <mergeCell ref="A19:O21"/>
    <mergeCell ref="A53:H53"/>
    <mergeCell ref="I53:O53"/>
    <mergeCell ref="K38:O38"/>
    <mergeCell ref="A10:H10"/>
    <mergeCell ref="I12:O12"/>
    <mergeCell ref="A68:H68"/>
    <mergeCell ref="I68:O68"/>
    <mergeCell ref="I55:O55"/>
    <mergeCell ref="I67:O67"/>
    <mergeCell ref="I14:O14"/>
    <mergeCell ref="A94:O96"/>
    <mergeCell ref="A11:H11"/>
    <mergeCell ref="I78:O78"/>
    <mergeCell ref="I13:O13"/>
    <mergeCell ref="A105:O105"/>
    <mergeCell ref="A78:H78"/>
    <mergeCell ref="A87:H87"/>
    <mergeCell ref="A65:H65"/>
    <mergeCell ref="A41:E41"/>
    <mergeCell ref="F42:J42"/>
    <mergeCell ref="I15:O15"/>
    <mergeCell ref="A23:O23"/>
    <mergeCell ref="I81:O81"/>
    <mergeCell ref="A80:H80"/>
    <mergeCell ref="N1:O1"/>
    <mergeCell ref="A12:H12"/>
    <mergeCell ref="A57:H57"/>
    <mergeCell ref="K42:O42"/>
    <mergeCell ref="A14:H14"/>
    <mergeCell ref="F43:J43"/>
    <mergeCell ref="C4:L6"/>
    <mergeCell ref="I58:O58"/>
    <mergeCell ref="A49:O49"/>
    <mergeCell ref="A52:H5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 Arboleda Genes</dc:creator>
  <dcterms:created xsi:type="dcterms:W3CDTF">2022-01-25T18:39:15Z</dcterms:created>
  <dcterms:modified xsi:type="dcterms:W3CDTF">2026-07-24T22:14:46Z</dcterms:modified>
  <cp:lastModifiedBy>JAG DESIGN</cp:lastModifiedBy>
  <cp:lastPrinted>2026-07-23T18:36:47Z</cp:lastPrinted>
</cp:coreProperties>
</file>