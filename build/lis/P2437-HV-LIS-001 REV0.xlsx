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DEL LABORATORIO</t>
        </is>
      </c>
    </row>
    <row r="9">
      <c r="A9" s="59" t="inlineStr">
        <is>
          <t>Listado de equipos y materiales (BOQ): sistema de ventilación del laboratorio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1</t>
        </is>
      </c>
    </row>
    <row r="12">
      <c r="A12" s="60" t="inlineStr">
        <is>
          <t>Fecha: 2026-07-27 (fuentes consultadas el 2026-07-23; frente de ventiladores axiales ampliado el 2026-07-27)</t>
        </is>
      </c>
    </row>
    <row r="13">
      <c r="A13" s="60" t="inlineStr">
        <is>
          <t>Base: informe_investigacion.md (misma revisión); punto de diseño 3 840 m³/h @ 165 Pa en el sitio (225 Pa equivalente de catálogo, ρ = 1.2 kg/m³).</t>
        </is>
      </c>
    </row>
    <row r="14">
      <c r="A14" s="60" t="inlineStr">
        <is>
          <t>Nota de revisión REV1 — 2026-07-27: cambio de alcance del cliente — sistema sin presurización, ventilador axial, sin instrumentación de presión diferencial.</t>
        </is>
      </c>
    </row>
    <row r="16">
      <c r="A16" s="61" t="inlineStr">
        <is>
          <t>1. Alcance del suministro</t>
        </is>
      </c>
    </row>
    <row r="17">
      <c r="A17" s="60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18"/>
    <row r="20">
      <c r="A20" s="61" t="inlineStr">
        <is>
          <t>2. Tabla de equipos y materiales</t>
        </is>
      </c>
    </row>
    <row r="21">
      <c r="A21" s="62" t="inlineStr">
        <is>
          <t>Tabla 1. BOQ del sistema de ventilación (consulta de fuentes 2026-07-23, ampliada 2026-07-27).</t>
        </is>
      </c>
    </row>
    <row r="22">
      <c r="A22" s="63" t="inlineStr">
        <is>
          <t>Ítem</t>
        </is>
      </c>
      <c r="B22" s="63" t="inlineStr">
        <is>
          <t>Función</t>
        </is>
      </c>
      <c r="C22" s="63" t="n"/>
      <c r="D22" s="63" t="inlineStr">
        <is>
          <t>Especificación clave</t>
        </is>
      </c>
      <c r="E22" s="63" t="n"/>
      <c r="F22" s="63" t="n"/>
      <c r="G22" s="63" t="inlineStr">
        <is>
          <t>Material / compatibilidad corrosiva</t>
        </is>
      </c>
      <c r="H22" s="63" t="n"/>
      <c r="I22" s="63" t="inlineStr">
        <is>
          <t>Cant.</t>
        </is>
      </c>
      <c r="J22" s="63" t="inlineStr">
        <is>
          <t>Candidatos comerciales (fabricante/modelo)</t>
        </is>
      </c>
      <c r="K22" s="63" t="n"/>
      <c r="L22" s="63" t="n"/>
      <c r="M22" s="63" t="inlineStr">
        <is>
          <t>Fuente</t>
        </is>
      </c>
      <c r="N22" s="63" t="n"/>
      <c r="O22" s="63" t="n"/>
    </row>
    <row r="23">
      <c r="A23" s="64" t="inlineStr">
        <is>
          <t>1</t>
        </is>
      </c>
      <c r="B23" s="64" t="inlineStr">
        <is>
          <t>Ventilador de impulsión</t>
        </is>
      </c>
      <c r="C23" s="65" t="n"/>
      <c r="D23" s="64" t="inlineStr">
        <is>
          <t>Axial tubeaxial, transmisión por bandas; 3 840 m³/h @ 225 Pa (catálogo, ρ = 1.2 kg/m³) ≡ 165 Pa en sitio; AMCA 210; tamaño/RPM por confirmar con proveedor</t>
        </is>
      </c>
      <c r="E23" s="65" t="n"/>
      <c r="F23" s="65" t="n"/>
      <c r="G23" s="64" t="inlineStr">
        <is>
          <t>PRFV viniléster (ASTM C582/D4167); motor fuera de la corriente de aire</t>
        </is>
      </c>
      <c r="H23" s="65" t="n"/>
      <c r="I23" s="64" t="inlineStr">
        <is>
          <t>1</t>
        </is>
      </c>
      <c r="J23" s="64" t="inlineStr">
        <is>
          <t>Aerovent FBD (Twin City Fan, Catálogo 185); Greenheck VAB (vaneaxial epóxico, Prime Lines HVAC, Bogotá); Sodeca HCT/HGT anticorrosivo PRFV; NYB FRP tubeaxial; Plastec PP</t>
        </is>
      </c>
      <c r="K23" s="65" t="n"/>
      <c r="L23" s="65" t="n"/>
      <c r="M23" s="64" t="inlineStr">
        <is>
          <t>Aerovent Cat. 185 (PDF) (https://www.aerovent.com/wp-content/uploads/sites/2/2024/07/Fiberglass-Fans-Axial-Flow-Model-FBD-FDP-FRV-TFBD-VTFBD-Catalog-185.pdf); Greenheck VAB/VAD (PDF) (https://content.greenheck.com/public/DAMProd/Original/10003/vane_axial_catalog.pdf); Sodeca (https://www.sodeca.com)</t>
        </is>
      </c>
      <c r="N23" s="65" t="n"/>
      <c r="O23" s="65" t="n"/>
    </row>
    <row r="24">
      <c r="A24" s="64" t="inlineStr">
        <is>
          <t>2</t>
        </is>
      </c>
      <c r="B24" s="64" t="inlineStr">
        <is>
          <t>Motor del ventilador</t>
        </is>
      </c>
      <c r="C24" s="65" t="n"/>
      <c r="D24" s="64" t="inlineStr">
        <is>
          <t>0.75 HP (provisional, confirmar con curva de selección final), TEFC, 1 800 RPM (4 polos), 60 Hz, clase F, IP55 mín., severe duty epóxico; 440 V 3φ (confirmado por el cliente, 2026-07-23)</t>
        </is>
      </c>
      <c r="E24" s="65" t="n"/>
      <c r="F24" s="65" t="n"/>
      <c r="G24" s="64" t="inlineStr">
        <is>
          <t>Pintura epóxica + protección interna anticorrosiva; motor fuera de la corriente (transmisión por bandas)</t>
        </is>
      </c>
      <c r="H24" s="65" t="n"/>
      <c r="I24" s="64" t="inlineStr">
        <is>
          <t>1</t>
        </is>
      </c>
      <c r="J24" s="64" t="inlineStr">
        <is>
          <t>Leeson/Regal Severe Duty; Baldor-Reliance IEEE 841XL; WEG W22 IEEE 841</t>
        </is>
      </c>
      <c r="K24" s="65" t="n"/>
      <c r="L24" s="65" t="n"/>
      <c r="M24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4" s="65" t="n"/>
      <c r="O24" s="65" t="n"/>
    </row>
    <row r="25">
      <c r="A25" s="64" t="inlineStr">
        <is>
          <t>3</t>
        </is>
      </c>
      <c r="B25" s="64" t="inlineStr">
        <is>
          <t>Prefiltro (etapa 1)</t>
        </is>
      </c>
      <c r="C25" s="65" t="n"/>
      <c r="D25" s="64" t="inlineStr">
        <is>
          <t>Plisado MERV 8 (ASHRAE 52.2); ΔP limpio 50-75 Pa, final 250 Pa (catálogo); 24×24 in</t>
        </is>
      </c>
      <c r="E25" s="65" t="n"/>
      <c r="F25" s="65" t="n"/>
      <c r="G25" s="64" t="inlineStr">
        <is>
          <t>Marco cartón hidrófugo; inspección de corrosión de la rejilla soporte en el primer año</t>
        </is>
      </c>
      <c r="H25" s="65" t="n"/>
      <c r="I25" s="64" t="inlineStr">
        <is>
          <t>1 (+ repuestos)</t>
        </is>
      </c>
      <c r="J25" s="64" t="inlineStr">
        <is>
          <t>Camfil 30/30 / Dual 9; Koch Multi-Pleat XL8</t>
        </is>
      </c>
      <c r="K25" s="65" t="n"/>
      <c r="L25" s="65" t="n"/>
      <c r="M25" s="64" t="inlineStr">
        <is>
          <t>Camfil 30/30 (PDF) (https://cdn.lsicloud.net/pandhwhsal/documents/406331002-SPS.pdf); Koch XL8 (PDF) (https://fsifiltration.com/wp-content/uploads/2020/08/Pleated-MERV8.pdf)</t>
        </is>
      </c>
      <c r="N25" s="65" t="n"/>
      <c r="O25" s="65" t="n"/>
    </row>
    <row r="26">
      <c r="A26" s="64" t="inlineStr">
        <is>
          <t>4</t>
        </is>
      </c>
      <c r="B26" s="64" t="inlineStr">
        <is>
          <t>Filtro final (etapa 2)</t>
        </is>
      </c>
      <c r="C26" s="65" t="n"/>
      <c r="D26" s="64" t="inlineStr">
        <is>
          <t>V-bank MERV 13-14 (52.2) ≡ ePM1 50-70 % (ISO 16890); ΔP limpio 80 Pa / final 210 Pa (catálogo) ≡ 59/154 Pa en sitio; 24×24 in</t>
        </is>
      </c>
      <c r="E26" s="65" t="n"/>
      <c r="F26" s="65" t="n"/>
      <c r="G26" s="64" t="inlineStr">
        <is>
          <t>Marco 100 % plástico (ABS/HIPS), sin metal; juntas PU</t>
        </is>
      </c>
      <c r="H26" s="65" t="n"/>
      <c r="I26" s="64" t="inlineStr">
        <is>
          <t>1 (+ repuestos)</t>
        </is>
      </c>
      <c r="J26" s="64" t="inlineStr">
        <is>
          <t>Camfil Durafil ES2 (MERV 14); AAF VariCel VXL; Freudenberg MaxiPleat MX 85</t>
        </is>
      </c>
      <c r="K26" s="65" t="n"/>
      <c r="L26" s="65" t="n"/>
      <c r="M26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6" s="65" t="n"/>
      <c r="O26" s="65" t="n"/>
    </row>
    <row r="27">
      <c r="A27" s="64" t="inlineStr">
        <is>
          <t>5</t>
        </is>
      </c>
      <c r="B27" s="64" t="inlineStr">
        <is>
          <t>Marcos portafiltros</t>
        </is>
      </c>
      <c r="C27" s="65" t="n"/>
      <c r="D27" s="64" t="inlineStr">
        <is>
          <t>Holding frames para prefiltro + filtro final con junta continua</t>
        </is>
      </c>
      <c r="E27" s="65" t="n"/>
      <c r="F27" s="65" t="n"/>
      <c r="G27" s="64" t="inlineStr">
        <is>
          <t>Inox 304/316 (no galvanizado); junta PU/EPDM</t>
        </is>
      </c>
      <c r="H27" s="65" t="n"/>
      <c r="I27" s="64" t="inlineStr">
        <is>
          <t>1 juego</t>
        </is>
      </c>
      <c r="J27" s="64" t="inlineStr">
        <is>
          <t>Camfil MagnaFrame II (opción inox 304); Camfil Universal Holding Frame (inox)</t>
        </is>
      </c>
      <c r="K27" s="65" t="n"/>
      <c r="L27" s="65" t="n"/>
      <c r="M27" s="64" t="inlineStr">
        <is>
          <t>MagnaFrame II (https://www.camfil.com/en-ca/products/housings-frames--louvers/filter-holding-frames/filter-holding-frames/magnaframe-ii-gasket-seal-_-47771)</t>
        </is>
      </c>
      <c r="N27" s="65" t="n"/>
      <c r="O27" s="65" t="n"/>
    </row>
    <row r="28">
      <c r="A28" s="64" t="inlineStr">
        <is>
          <t>6</t>
        </is>
      </c>
      <c r="B28" s="64" t="inlineStr">
        <is>
          <t>Rejillas de descarga</t>
        </is>
      </c>
      <c r="C28" s="65" t="n"/>
      <c r="D28" s="64" t="inlineStr">
        <is>
          <t>Eggcrate ½ in, 353×336 mm facial; velocidad facial 3 m/s; ΔP 11 Pa en sitio (descarga libre); área libre ≥ 90 %</t>
        </is>
      </c>
      <c r="E28" s="65" t="n"/>
      <c r="F28" s="65" t="n"/>
      <c r="G28" s="64" t="inlineStr">
        <is>
          <t>Inox 316L (alternativa: aluminio anodizado 6063-T5); ensayo ASHRAE 70</t>
        </is>
      </c>
      <c r="H28" s="65" t="n"/>
      <c r="I28" s="64" t="inlineStr">
        <is>
          <t>3</t>
        </is>
      </c>
      <c r="J28" s="64" t="inlineStr">
        <is>
          <t>Titus 50F (versión inox); fabricación local ProAire S.A.S (corte láser inox); Laminaire</t>
        </is>
      </c>
      <c r="K28" s="65" t="n"/>
      <c r="L28" s="65" t="n"/>
      <c r="M28" s="64" t="inlineStr">
        <is>
          <t>Titus 50F (PDF) (https://www.titus-hvac.com/file/1228/50F_50Rrprod_specialized_2017.pdf); ProAire (https://www.proairecolombia.com/productos/rejillas-y-difusores.html)</t>
        </is>
      </c>
      <c r="N28" s="65" t="n"/>
      <c r="O28" s="65" t="n"/>
    </row>
    <row r="29">
      <c r="A29" s="64" t="inlineStr">
        <is>
          <t>7</t>
        </is>
      </c>
      <c r="B29" s="64" t="inlineStr">
        <is>
          <t>Malla anti-insectos</t>
        </is>
      </c>
      <c r="C29" s="65" t="n"/>
      <c r="D29" s="64" t="inlineStr">
        <is>
          <t>Tejido 18×18, abertura ≈1 mm, área abierta ≥ 48 %; marco desmontable para limpieza</t>
        </is>
      </c>
      <c r="E29" s="65" t="n"/>
      <c r="F29" s="65" t="n"/>
      <c r="G29" s="64" t="inlineStr">
        <is>
          <t>Inox 316</t>
        </is>
      </c>
      <c r="H29" s="65" t="n"/>
      <c r="I29" s="64" t="inlineStr">
        <is>
          <t>3 (una por rejilla)</t>
        </is>
      </c>
      <c r="J29" s="64" t="inlineStr">
        <is>
          <t>Proveedores de malla inox tejida (especificación genérica 18×18, alambre 0.45 mm)</t>
        </is>
      </c>
      <c r="K29" s="65" t="n"/>
      <c r="L29" s="65" t="n"/>
      <c r="M29" s="64" t="inlineStr">
        <is>
          <t>Tabla área abierta (https://www.industrialmetalmesh.com/sale-54819921-micron-304-316l-stainless-steel-wire-mesh-screen-filter-mesh.html)</t>
        </is>
      </c>
      <c r="N29" s="65" t="n"/>
      <c r="O29" s="65" t="n"/>
    </row>
    <row r="30">
      <c r="A30" s="64" t="inlineStr">
        <is>
          <t>8</t>
        </is>
      </c>
      <c r="B30" s="64" t="inlineStr">
        <is>
          <t>Soportes y ferretería</t>
        </is>
      </c>
      <c r="C30" s="65" t="n"/>
      <c r="D30" s="64" t="inlineStr">
        <is>
          <t>Soportes de ventilador y rejillas; pernos, tuercas, arandelas</t>
        </is>
      </c>
      <c r="E30" s="65" t="n"/>
      <c r="F30" s="65" t="n"/>
      <c r="G30" s="64" t="inlineStr">
        <is>
          <t>Inox 316 (clase A4); aislamiento dieléctrico frente a galvanizado</t>
        </is>
      </c>
      <c r="H30" s="65" t="n"/>
      <c r="I30" s="64" t="inlineStr">
        <is>
          <t>Lote</t>
        </is>
      </c>
      <c r="J30" s="64" t="inlineStr">
        <is>
          <t>Suministro nacional genérico A4</t>
        </is>
      </c>
      <c r="K30" s="65" t="n"/>
      <c r="L30" s="65" t="n"/>
      <c r="M30" s="64" t="inlineStr">
        <is>
          <t>Marsh Fasteners (criterio 304 vs 316) (https://marshfasteners.com/304-vs-316-stainless-steel-bolts/)</t>
        </is>
      </c>
      <c r="N30" s="65" t="n"/>
      <c r="O30" s="65" t="n"/>
    </row>
    <row r="31">
      <c r="A31" s="64" t="inlineStr">
        <is>
          <t>9</t>
        </is>
      </c>
      <c r="B31" s="64" t="inlineStr">
        <is>
          <t>Conexión flexible ventilador-pasamuros</t>
        </is>
      </c>
      <c r="C31" s="65" t="n"/>
      <c r="D31" s="64" t="inlineStr">
        <is>
          <t>Ancho ≥ 100 mm; bandas de amarre inox 316 cal. 24</t>
        </is>
      </c>
      <c r="E31" s="65" t="n"/>
      <c r="F31" s="65" t="n"/>
      <c r="G31" s="64" t="inlineStr">
        <is>
          <t>Hipalón (CSM); alternativa clorobutilo; no PVC estándar</t>
        </is>
      </c>
      <c r="H31" s="65" t="n"/>
      <c r="I31" s="64" t="inlineStr">
        <is>
          <t>1</t>
        </is>
      </c>
      <c r="J31" s="64" t="inlineStr">
        <is>
          <t>Hardcast Hypalon; Proco serie 500</t>
        </is>
      </c>
      <c r="K31" s="65" t="n"/>
      <c r="L31" s="65" t="n"/>
      <c r="M31" s="64" t="inlineStr">
        <is>
          <t>Hardcast (PDF) (https://6c2bd45d09da3c66a408-2b16a407535c695c8a76f8b06a56f342.ssl.cf2.rackcdn.com/GWB%20%20eCatalog%2006-25-16.pdf)</t>
        </is>
      </c>
      <c r="N31" s="65" t="n"/>
      <c r="O31" s="65" t="n"/>
    </row>
    <row r="32">
      <c r="A32" s="64" t="inlineStr">
        <is>
          <t>10</t>
        </is>
      </c>
      <c r="B32" s="64" t="inlineStr">
        <is>
          <t>Selladores</t>
        </is>
      </c>
      <c r="C32" s="65" t="n"/>
      <c r="D32" s="64" t="inlineStr">
        <is>
          <t>Sellado de pasamuros, marcos y empalmes</t>
        </is>
      </c>
      <c r="E32" s="65" t="n"/>
      <c r="F32" s="65" t="n"/>
      <c r="G32" s="64" t="inlineStr">
        <is>
          <t>Silicona RTV neutra (no acetoxi); PU solo en zonas sin cloro gaseoso directo</t>
        </is>
      </c>
      <c r="H32" s="65" t="n"/>
      <c r="I32" s="64" t="inlineStr">
        <is>
          <t>Lote</t>
        </is>
      </c>
      <c r="J32" s="64" t="inlineStr">
        <is>
          <t>Sikaflex / silicona neutra grado industrial (suministro nacional)</t>
        </is>
      </c>
      <c r="K32" s="65" t="n"/>
      <c r="L32" s="65" t="n"/>
      <c r="M32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2" s="65" t="n"/>
      <c r="O32" s="65" t="n"/>
    </row>
    <row r="33">
      <c r="A33" s="64" t="inlineStr">
        <is>
          <t>11</t>
        </is>
      </c>
      <c r="B33" s="64" t="inlineStr">
        <is>
          <t>Protecciones eléctricas y tablero</t>
        </is>
      </c>
      <c r="C33" s="65" t="n"/>
      <c r="D33" s="64" t="inlineStr">
        <is>
          <t>Guardamotor, contactor, seccionador, puesta a tierra; tablero IP55/IP66 según ubicación</t>
        </is>
      </c>
      <c r="E33" s="65" t="n"/>
      <c r="F33" s="65" t="n"/>
      <c r="G33" s="64" t="inlineStr">
        <is>
          <t>Gabinete con tratamiento anticorrosivo; prensaestopas niquelados o inox</t>
        </is>
      </c>
      <c r="H33" s="65" t="n"/>
      <c r="I33" s="64" t="inlineStr">
        <is>
          <t>1</t>
        </is>
      </c>
      <c r="J33" s="64" t="inlineStr">
        <is>
          <t>Fabricación local certificada RETIE; componentes Siemens/ABB/WEG</t>
        </is>
      </c>
      <c r="K33" s="65" t="n"/>
      <c r="L33" s="65" t="n"/>
      <c r="M33" s="64" t="inlineStr">
        <is>
          <t>Requisito RETIE / NTC 2050 (normativo, no de catálogo)</t>
        </is>
      </c>
      <c r="N33" s="65" t="n"/>
      <c r="O33" s="65" t="n"/>
    </row>
    <row r="34">
      <c r="A34" s="64" t="inlineStr">
        <is>
          <t>12</t>
        </is>
      </c>
      <c r="B34" s="64" t="inlineStr">
        <is>
          <t>Cableado y canalización</t>
        </is>
      </c>
      <c r="C34" s="65" t="n"/>
      <c r="D34" s="64" t="inlineStr">
        <is>
          <t>Circuito de alimentación del motor 0.75 HP</t>
        </is>
      </c>
      <c r="E34" s="65" t="n"/>
      <c r="F34" s="65" t="n"/>
      <c r="G34" s="64" t="inlineStr">
        <is>
          <t>Canalización PVC Schedule 80 o conduit inox; no conduit galvanizado expuesto</t>
        </is>
      </c>
      <c r="H34" s="65" t="n"/>
      <c r="I34" s="64" t="inlineStr">
        <is>
          <t>Lote</t>
        </is>
      </c>
      <c r="J34" s="64" t="inlineStr">
        <is>
          <t>Suministro nacional certificado RETIE</t>
        </is>
      </c>
      <c r="K34" s="65" t="n"/>
      <c r="L34" s="65" t="n"/>
      <c r="M34" s="64" t="inlineStr">
        <is>
          <t>Requisito RETIE / NTC 2050</t>
        </is>
      </c>
      <c r="N34" s="65" t="n"/>
      <c r="O34" s="65" t="n"/>
    </row>
    <row r="37">
      <c r="A37" s="61" t="inlineStr">
        <is>
          <t>3. Notas de suministro</t>
        </is>
      </c>
    </row>
    <row r="38">
      <c r="A38" s="60" t="inlineStr">
        <is>
          <t>3.1. Los ítems 1 y 4 requieren cotización formal con submittal: la selección final de tamaño/RPM del ventilador (ítem 1) y la potencia definitiva del motor (ítem 2) se confirman con el software del fabricante sobre el punto 3 840 m³/h @ 225 Pa aire estándar.</t>
        </is>
      </c>
    </row>
    <row r="39"/>
    <row r="40">
      <c r="A40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1"/>
    <row r="42"/>
    <row r="43">
      <c r="A43" s="60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  <row r="44"/>
  </sheetData>
  <mergeCells count="85">
    <mergeCell ref="J27:L27"/>
    <mergeCell ref="B22:C22"/>
    <mergeCell ref="G23:H23"/>
    <mergeCell ref="B31:C31"/>
    <mergeCell ref="J25:L25"/>
    <mergeCell ref="N3:O3"/>
    <mergeCell ref="D28:F28"/>
    <mergeCell ref="N5:O5"/>
    <mergeCell ref="D30:F30"/>
    <mergeCell ref="M24:O24"/>
    <mergeCell ref="C2:L3"/>
    <mergeCell ref="G34:H34"/>
    <mergeCell ref="D29:F29"/>
    <mergeCell ref="D23:F23"/>
    <mergeCell ref="J29:L29"/>
    <mergeCell ref="B24:C24"/>
    <mergeCell ref="B33:C33"/>
    <mergeCell ref="A40:O42"/>
    <mergeCell ref="B32:C32"/>
    <mergeCell ref="B26:C26"/>
    <mergeCell ref="G22:H22"/>
    <mergeCell ref="B1:B5"/>
    <mergeCell ref="A17:O18"/>
    <mergeCell ref="J24:L24"/>
    <mergeCell ref="A16:O16"/>
    <mergeCell ref="D27:F27"/>
    <mergeCell ref="B25:C25"/>
    <mergeCell ref="M22:O22"/>
    <mergeCell ref="M31:O31"/>
    <mergeCell ref="J26:L26"/>
    <mergeCell ref="B27:C27"/>
    <mergeCell ref="A43:O44"/>
    <mergeCell ref="M28:O28"/>
    <mergeCell ref="N2:O2"/>
    <mergeCell ref="M26:O26"/>
    <mergeCell ref="D25:F25"/>
    <mergeCell ref="M29:O29"/>
    <mergeCell ref="A20:O20"/>
    <mergeCell ref="M23:O23"/>
    <mergeCell ref="B29:C29"/>
    <mergeCell ref="J33:L33"/>
    <mergeCell ref="G24:H24"/>
    <mergeCell ref="G33:H33"/>
    <mergeCell ref="G26:H26"/>
    <mergeCell ref="J28:L28"/>
    <mergeCell ref="N6:O6"/>
    <mergeCell ref="D31:F31"/>
    <mergeCell ref="G25:H25"/>
    <mergeCell ref="J30:L30"/>
    <mergeCell ref="N4:O4"/>
    <mergeCell ref="D32:F32"/>
    <mergeCell ref="M25:O25"/>
    <mergeCell ref="A38:O39"/>
    <mergeCell ref="M30:O30"/>
    <mergeCell ref="J32:L32"/>
    <mergeCell ref="M33:O33"/>
    <mergeCell ref="A8:O8"/>
    <mergeCell ref="D33:F33"/>
    <mergeCell ref="M32:O32"/>
    <mergeCell ref="B34:C34"/>
    <mergeCell ref="B28:C28"/>
    <mergeCell ref="A1:A5"/>
    <mergeCell ref="A9:O9"/>
    <mergeCell ref="C1:L1"/>
    <mergeCell ref="D34:F34"/>
    <mergeCell ref="B30:C30"/>
    <mergeCell ref="G32:H32"/>
    <mergeCell ref="D22:F22"/>
    <mergeCell ref="J34:L34"/>
    <mergeCell ref="G27:H27"/>
    <mergeCell ref="A37:O37"/>
    <mergeCell ref="M27:O27"/>
    <mergeCell ref="J22:L22"/>
    <mergeCell ref="J31:L31"/>
    <mergeCell ref="B23:C23"/>
    <mergeCell ref="G28:H28"/>
    <mergeCell ref="N1:O1"/>
    <mergeCell ref="D24:F24"/>
    <mergeCell ref="G30:H30"/>
    <mergeCell ref="J23:L23"/>
    <mergeCell ref="D26:F26"/>
    <mergeCell ref="M34:O34"/>
    <mergeCell ref="G29:H29"/>
    <mergeCell ref="C4:L6"/>
    <mergeCell ref="G31:H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2026-07-27T14:48:03Z</dcterms:modified>
  <cp:lastModifiedBy>JAG DESIGN</cp:lastModifiedBy>
  <cp:lastPrinted>2026-07-23T18:36:47Z</cp:lastPrinted>
</cp:coreProperties>
</file>