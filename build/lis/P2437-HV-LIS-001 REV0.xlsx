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LISTA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31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name val="Times New Roman"/>
      <b val="1"/>
      <color theme="1"/>
      <sz val="15"/>
    </font>
    <font>
      <name val="Times New Roman"/>
      <b val="1"/>
      <i val="1"/>
      <color theme="1"/>
      <sz val="15"/>
    </font>
    <font>
      <name val="Times New Roman"/>
      <color theme="1"/>
      <sz val="11"/>
    </font>
    <font>
      <name val="Times New Roman"/>
      <color theme="1"/>
      <sz val="15"/>
    </font>
    <font>
      <name val="Times New Roman"/>
      <b val="1"/>
      <color theme="1"/>
      <sz val="16"/>
    </font>
    <font>
      <name val="Times New Roman"/>
      <b val="1"/>
      <color rgb="001F4E78"/>
      <sz val="12"/>
    </font>
    <font>
      <name val="Times New Roman"/>
      <b val="1"/>
      <color rgb="001F4E78"/>
      <sz val="14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  <sz val="11"/>
    </font>
    <font>
      <name val="Times New Roman"/>
      <color rgb="FF00B050"/>
      <sz val="12"/>
    </font>
    <font>
      <name val="Times New Roman"/>
      <b val="1"/>
      <sz val="12"/>
    </font>
    <font>
      <name val="Times New Roman"/>
      <color theme="1"/>
      <sz val="12"/>
    </font>
    <font>
      <name val="Times New Roman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27" fillId="0" borderId="1" applyAlignment="1" pivotButton="0" quotePrefix="0" xfId="1">
      <alignment horizontal="center"/>
    </xf>
    <xf numFmtId="0" fontId="19" fillId="0" borderId="2" pivotButton="0" quotePrefix="0" xfId="0"/>
    <xf numFmtId="0" fontId="19" fillId="0" borderId="4" pivotButton="0" quotePrefix="0" xfId="0"/>
    <xf numFmtId="0" fontId="27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19" fillId="0" borderId="3" pivotButton="0" quotePrefix="0" xfId="0"/>
    <xf numFmtId="0" fontId="19" fillId="0" borderId="0" pivotButton="0" quotePrefix="0" xfId="0"/>
    <xf numFmtId="0" fontId="19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9" fillId="0" borderId="6" pivotButton="0" quotePrefix="0" xfId="0"/>
    <xf numFmtId="0" fontId="19" fillId="0" borderId="7" pivotButton="0" quotePrefix="0" xfId="0"/>
    <xf numFmtId="0" fontId="19" fillId="0" borderId="8" pivotButton="0" quotePrefix="0" xfId="0"/>
    <xf numFmtId="0" fontId="28" fillId="0" borderId="1" applyAlignment="1" pivotButton="0" quotePrefix="0" xfId="1">
      <alignment horizontal="center" vertical="center"/>
    </xf>
    <xf numFmtId="0" fontId="19" fillId="0" borderId="9" pivotButton="0" quotePrefix="0" xfId="0"/>
    <xf numFmtId="0" fontId="19" fillId="0" borderId="10" pivotButton="0" quotePrefix="0" xfId="0"/>
    <xf numFmtId="0" fontId="29" fillId="0" borderId="0" applyAlignment="1" pivotButton="0" quotePrefix="0" xfId="1">
      <alignment horizontal="center"/>
    </xf>
    <xf numFmtId="0" fontId="0" fillId="0" borderId="3" pivotButton="0" quotePrefix="0" xfId="0"/>
    <xf numFmtId="0" fontId="30" fillId="4" borderId="1" applyAlignment="1" pivotButton="0" quotePrefix="0" xfId="1">
      <alignment horizontal="center" vertical="center" wrapText="1"/>
    </xf>
    <xf numFmtId="0" fontId="19" fillId="0" borderId="1" applyAlignment="1" pivotButton="0" quotePrefix="0" xfId="1">
      <alignment horizontal="center" vertical="center" wrapText="1"/>
    </xf>
    <xf numFmtId="0" fontId="29" fillId="0" borderId="1" applyAlignment="1" pivotButton="0" quotePrefix="0" xfId="1">
      <alignment horizontal="center" vertical="center" wrapText="1"/>
    </xf>
    <xf numFmtId="0" fontId="29" fillId="0" borderId="0" applyAlignment="1" pivotButton="0" quotePrefix="0" xfId="1">
      <alignment horizontal="center" vertical="center" wrapText="1"/>
    </xf>
    <xf numFmtId="43" fontId="6" fillId="0" borderId="0" applyAlignment="1" pivotButton="0" quotePrefix="0" xfId="3">
      <alignment vertical="center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horizontal="left" vertical="center" wrapText="1" indent="4"/>
    </xf>
    <xf numFmtId="0" fontId="19" fillId="0" borderId="11" pivotButton="0" quotePrefix="0" xfId="0"/>
    <xf numFmtId="0" fontId="19" fillId="0" borderId="12" pivotButton="0" quotePrefix="0" xfId="0"/>
    <xf numFmtId="0" fontId="21" fillId="3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5" borderId="13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left" vertical="top" wrapText="1"/>
    </xf>
    <xf numFmtId="0" fontId="0" fillId="0" borderId="13" pivotButton="0" quotePrefix="0" xfId="0"/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  <c r="N1" s="47" t="n"/>
      <c r="O1" s="45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9" t="n"/>
      <c r="Z1" s="27" t="inlineStr">
        <is>
          <t>DISEÑO DE INGENIERÍA</t>
        </is>
      </c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9" t="n"/>
      <c r="BC1" s="26" t="inlineStr">
        <is>
          <t>CODIGO:</t>
        </is>
      </c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1" t="n"/>
      <c r="BO1" s="25" t="inlineStr">
        <is>
          <t>P2437-HV-LIS-001</t>
        </is>
      </c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3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  <c r="N2" s="54" t="n"/>
      <c r="O2" s="55" t="n"/>
      <c r="Y2" s="57" t="n"/>
      <c r="Z2" s="58" t="n"/>
      <c r="AA2" s="59" t="n"/>
      <c r="AB2" s="59" t="n"/>
      <c r="AC2" s="59" t="n"/>
      <c r="AD2" s="5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60" t="n"/>
      <c r="BC2" s="26" t="inlineStr">
        <is>
          <t>REVISION:</t>
        </is>
      </c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25" t="inlineStr">
        <is>
          <t>CERO (0)</t>
        </is>
      </c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3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4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4" t="n"/>
      <c r="O3" s="55" t="n"/>
      <c r="Y3" s="57" t="n"/>
      <c r="Z3" s="27" t="inlineStr">
        <is>
          <t>SISTEMA HVAC LABORATORIO BRINSA</t>
        </is>
      </c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9" t="n"/>
      <c r="BC3" s="26" t="inlineStr">
        <is>
          <t>FECHA:</t>
        </is>
      </c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1" t="n"/>
      <c r="BO3" s="25" t="inlineStr">
        <is>
          <t>JULIO 23 DEL 2026</t>
        </is>
      </c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3" t="n"/>
    </row>
    <row r="4" ht="25" customFormat="1" customHeight="1" s="2">
      <c r="A4" s="54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4" t="n"/>
      <c r="O4" s="55" t="n"/>
      <c r="Y4" s="57" t="n"/>
      <c r="Z4" s="58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60" t="n"/>
      <c r="BC4" s="26" t="inlineStr">
        <is>
          <t>ELABORO:</t>
        </is>
      </c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1" t="n"/>
      <c r="BO4" s="25" t="inlineStr">
        <is>
          <t>J.ARBOLEDA</t>
        </is>
      </c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3" t="n"/>
    </row>
    <row r="5" ht="25" customFormat="1" customHeight="1" s="2">
      <c r="A5" s="61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3" t="n"/>
      <c r="N5" s="61" t="n"/>
      <c r="O5" s="62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60" t="n"/>
      <c r="Z5" s="31" t="inlineStr">
        <is>
          <t>LISTADO DE EQUIPOS Y MATERIALES (BOQ): SISTEMA DE VENTILACIÓN DEL LABORATORIO</t>
        </is>
      </c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9" t="n"/>
      <c r="BC5" s="26" t="inlineStr">
        <is>
          <t>REVISO:</t>
        </is>
      </c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1" t="n"/>
      <c r="BO5" s="25" t="inlineStr">
        <is>
          <t>F.NAVIA</t>
        </is>
      </c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3" t="n"/>
    </row>
    <row r="6" ht="25" customFormat="1" customHeight="1" s="2">
      <c r="A6" s="64" t="inlineStr">
        <is>
          <t>PROYECTO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4" t="inlineStr">
        <is>
          <t>P2437</t>
        </is>
      </c>
      <c r="O6" s="65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1" t="n"/>
      <c r="Z6" s="58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60" t="n"/>
      <c r="BC6" s="26" t="inlineStr">
        <is>
          <t>APROBO:</t>
        </is>
      </c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1" t="n"/>
      <c r="BO6" s="25" t="inlineStr">
        <is>
          <t>H.ROSERO</t>
        </is>
      </c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3" t="n"/>
    </row>
    <row r="7" ht="15" customHeight="1">
      <c r="A7" s="55" t="n"/>
      <c r="B7" s="55" t="n"/>
      <c r="C7" s="55" t="n"/>
      <c r="D7" s="55" t="n"/>
      <c r="E7" s="55" t="n"/>
      <c r="F7" s="55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A8" s="55" t="n"/>
      <c r="B8" s="55" t="n"/>
      <c r="C8" s="55" t="n"/>
      <c r="D8" s="55" t="n"/>
      <c r="E8" s="55" t="n"/>
      <c r="F8" s="55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A9" s="55" t="n"/>
      <c r="B9" s="55" t="n"/>
      <c r="C9" s="55" t="n"/>
      <c r="D9" s="55" t="n"/>
      <c r="E9" s="55" t="n"/>
      <c r="F9" s="55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A10" s="55" t="n"/>
      <c r="B10" s="55" t="n"/>
      <c r="C10" s="55" t="n"/>
      <c r="D10" s="55" t="n"/>
      <c r="E10" s="55" t="n"/>
      <c r="F10" s="55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A11" s="55" t="n"/>
      <c r="B11" s="55" t="n"/>
      <c r="C11" s="55" t="n"/>
      <c r="D11" s="55" t="n"/>
      <c r="E11" s="55" t="n"/>
      <c r="F11" s="55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A12" s="55" t="n"/>
      <c r="B12" s="55" t="n"/>
      <c r="C12" s="55" t="n"/>
      <c r="D12" s="55" t="n"/>
      <c r="E12" s="55" t="n"/>
      <c r="F12" s="55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A13" s="55" t="n"/>
      <c r="B13" s="55" t="n"/>
      <c r="C13" s="55" t="n"/>
      <c r="D13" s="55" t="n"/>
      <c r="E13" s="55" t="n"/>
      <c r="F13" s="55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A14" s="55" t="n"/>
      <c r="B14" s="55" t="n"/>
      <c r="C14" s="55" t="n"/>
      <c r="D14" s="55" t="n"/>
      <c r="E14" s="55" t="n"/>
      <c r="F14" s="55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A15" s="55" t="n"/>
      <c r="B15" s="55" t="n"/>
      <c r="C15" s="55" t="n"/>
      <c r="D15" s="55" t="n"/>
      <c r="E15" s="55" t="n"/>
      <c r="F15" s="55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A16" s="55" t="n"/>
      <c r="B16" s="55" t="n"/>
      <c r="C16" s="55" t="n"/>
      <c r="D16" s="55" t="n"/>
      <c r="E16" s="55" t="n"/>
      <c r="F16" s="55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A17" s="55" t="n"/>
      <c r="B17" s="55" t="n"/>
      <c r="C17" s="55" t="n"/>
      <c r="D17" s="55" t="n"/>
      <c r="E17" s="55" t="n"/>
      <c r="F17" s="55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A18" s="55" t="n"/>
      <c r="B18" s="55" t="n"/>
      <c r="C18" s="55" t="n"/>
      <c r="D18" s="55" t="n"/>
      <c r="E18" s="55" t="n"/>
      <c r="F18" s="55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A19" s="55" t="n"/>
      <c r="B19" s="55" t="n"/>
      <c r="C19" s="55" t="n"/>
      <c r="D19" s="55" t="n"/>
      <c r="E19" s="55" t="n"/>
      <c r="F19" s="55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A20" s="55" t="n"/>
      <c r="B20" s="55" t="n"/>
      <c r="C20" s="55" t="n"/>
      <c r="D20" s="55" t="n"/>
      <c r="E20" s="55" t="n"/>
      <c r="F20" s="55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A21" s="55" t="n"/>
      <c r="B21" s="55" t="n"/>
      <c r="C21" s="55" t="n"/>
      <c r="D21" s="55" t="n"/>
      <c r="E21" s="55" t="n"/>
      <c r="F21" s="55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21" t="n"/>
      <c r="Q21" s="21" t="n"/>
      <c r="R21" s="41" t="inlineStr">
        <is>
          <t>Elaborado por:</t>
        </is>
      </c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9" t="n"/>
      <c r="AF21" s="41" t="inlineStr">
        <is>
          <t>Revisado por:</t>
        </is>
      </c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9" t="n"/>
      <c r="AT21" s="41" t="inlineStr">
        <is>
          <t>Aprobado por:</t>
        </is>
      </c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9" t="n"/>
    </row>
    <row r="22" ht="15" customHeight="1">
      <c r="A22" s="55" t="n"/>
      <c r="B22" s="55" t="n"/>
      <c r="C22" s="55" t="n"/>
      <c r="D22" s="55" t="n"/>
      <c r="E22" s="55" t="n"/>
      <c r="F22" s="55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21" t="n"/>
      <c r="Q22" s="21" t="n"/>
      <c r="R22" s="68" t="n"/>
      <c r="AE22" s="57" t="n"/>
      <c r="AF22" s="68" t="n"/>
      <c r="AS22" s="57" t="n"/>
      <c r="AT22" s="68" t="n"/>
      <c r="BG22" s="57" t="n"/>
    </row>
    <row r="23" ht="15" customHeight="1">
      <c r="A23" s="55" t="n"/>
      <c r="B23" s="55" t="n"/>
      <c r="C23" s="55" t="n"/>
      <c r="D23" s="55" t="n"/>
      <c r="E23" s="55" t="n"/>
      <c r="F23" s="55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21" t="n"/>
      <c r="Q23" s="21" t="n"/>
      <c r="R23" s="58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60" t="n"/>
      <c r="AF23" s="58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60" t="n"/>
      <c r="AT23" s="58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60" t="n"/>
    </row>
    <row r="24" ht="15" customHeight="1">
      <c r="A24" s="55" t="n"/>
      <c r="B24" s="55" t="n"/>
      <c r="C24" s="55" t="n"/>
      <c r="D24" s="55" t="n"/>
      <c r="E24" s="55" t="n"/>
      <c r="F24" s="55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21" t="n"/>
      <c r="Q24" s="21" t="n"/>
      <c r="R24" s="23" t="inlineStr">
        <is>
          <t>J.ARBOLEDA</t>
        </is>
      </c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9" t="n"/>
      <c r="AF24" s="24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9" t="n"/>
      <c r="AT24" s="24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9" t="n"/>
    </row>
    <row r="25" ht="15" customHeight="1">
      <c r="A25" s="55" t="n"/>
      <c r="B25" s="55" t="n"/>
      <c r="C25" s="55" t="n"/>
      <c r="D25" s="55" t="n"/>
      <c r="E25" s="55" t="n"/>
      <c r="F25" s="55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21" t="n"/>
      <c r="Q25" s="21" t="n"/>
      <c r="R25" s="68" t="n"/>
      <c r="AE25" s="57" t="n"/>
      <c r="AF25" s="68" t="n"/>
      <c r="AS25" s="57" t="n"/>
      <c r="AT25" s="68" t="n"/>
      <c r="BG25" s="57" t="n"/>
    </row>
    <row r="26" ht="15" customHeight="1">
      <c r="A26" s="55" t="n"/>
      <c r="B26" s="55" t="n"/>
      <c r="C26" s="55" t="n"/>
      <c r="D26" s="55" t="n"/>
      <c r="E26" s="55" t="n"/>
      <c r="F26" s="55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21" t="n"/>
      <c r="Q26" s="21" t="n"/>
      <c r="R26" s="58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60" t="n"/>
      <c r="AF26" s="58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60" t="n"/>
      <c r="AT26" s="58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60" t="n"/>
    </row>
    <row r="27" ht="15" customHeight="1">
      <c r="A27" s="55" t="n"/>
      <c r="B27" s="55" t="n"/>
      <c r="C27" s="55" t="n"/>
      <c r="D27" s="55" t="n"/>
      <c r="E27" s="55" t="n"/>
      <c r="F27" s="55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21" t="n"/>
      <c r="Q27" s="21" t="n"/>
      <c r="R27" s="24">
        <f>"Fecha :"&amp;BO3</f>
        <v/>
      </c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9" t="n"/>
      <c r="AF27" s="24">
        <f>"Fecha :"&amp;CC1</f>
        <v/>
      </c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9" t="n"/>
      <c r="AT27" s="24">
        <f>"Fecha :"&amp;CC2</f>
        <v/>
      </c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9" t="n"/>
    </row>
    <row r="28" ht="15" customHeight="1">
      <c r="A28" s="55" t="n"/>
      <c r="B28" s="55" t="n"/>
      <c r="C28" s="55" t="n"/>
      <c r="D28" s="55" t="n"/>
      <c r="E28" s="55" t="n"/>
      <c r="F28" s="55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21" t="n"/>
      <c r="Q28" s="21" t="n"/>
      <c r="R28" s="68" t="n"/>
      <c r="AE28" s="57" t="n"/>
      <c r="AF28" s="68" t="n"/>
      <c r="AS28" s="57" t="n"/>
      <c r="AT28" s="68" t="n"/>
      <c r="BG28" s="57" t="n"/>
    </row>
    <row r="29" ht="15" customHeight="1">
      <c r="A29" s="55" t="n"/>
      <c r="B29" s="55" t="n"/>
      <c r="C29" s="55" t="n"/>
      <c r="D29" s="55" t="n"/>
      <c r="E29" s="55" t="n"/>
      <c r="F29" s="55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21" t="n"/>
      <c r="Q29" s="21" t="n"/>
      <c r="R29" s="58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60" t="n"/>
      <c r="AF29" s="58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60" t="n"/>
      <c r="AT29" s="58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60" t="n"/>
    </row>
    <row r="30" ht="15" customHeight="1">
      <c r="A30" s="55" t="n"/>
      <c r="B30" s="55" t="n"/>
      <c r="C30" s="55" t="n"/>
      <c r="D30" s="55" t="n"/>
      <c r="E30" s="55" t="n"/>
      <c r="F30" s="55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A31" s="55" t="n"/>
      <c r="B31" s="55" t="n"/>
      <c r="C31" s="55" t="n"/>
      <c r="D31" s="55" t="n"/>
      <c r="E31" s="55" t="n"/>
      <c r="F31" s="55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A32" s="55" t="n"/>
      <c r="B32" s="55" t="n"/>
      <c r="C32" s="55" t="n"/>
      <c r="D32" s="55" t="n"/>
      <c r="E32" s="55" t="n"/>
      <c r="F32" s="55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A33" s="55" t="n"/>
      <c r="B33" s="55" t="n"/>
      <c r="C33" s="55" t="n"/>
      <c r="D33" s="55" t="n"/>
      <c r="E33" s="55" t="n"/>
      <c r="F33" s="55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A34" s="55" t="n"/>
      <c r="B34" s="55" t="n"/>
      <c r="C34" s="55" t="n"/>
      <c r="D34" s="55" t="n"/>
      <c r="E34" s="55" t="n"/>
      <c r="F34" s="55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A35" s="55" t="n"/>
      <c r="B35" s="55" t="n"/>
      <c r="C35" s="55" t="n"/>
      <c r="D35" s="55" t="n"/>
      <c r="E35" s="55" t="n"/>
      <c r="F35" s="55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A36" s="55" t="n"/>
      <c r="B36" s="55" t="n"/>
      <c r="C36" s="55" t="n"/>
      <c r="D36" s="55" t="n"/>
      <c r="E36" s="55" t="n"/>
      <c r="F36" s="55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A37" s="55" t="n"/>
      <c r="B37" s="55" t="n"/>
      <c r="C37" s="55" t="n"/>
      <c r="D37" s="55" t="n"/>
      <c r="E37" s="55" t="n"/>
      <c r="F37" s="55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A38" s="55" t="n"/>
      <c r="B38" s="55" t="n"/>
      <c r="C38" s="55" t="n"/>
      <c r="D38" s="55" t="n"/>
      <c r="E38" s="55" t="n"/>
      <c r="F38" s="55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A39" s="55" t="n"/>
      <c r="B39" s="55" t="n"/>
      <c r="C39" s="55" t="n"/>
      <c r="D39" s="55" t="n"/>
      <c r="E39" s="55" t="n"/>
      <c r="F39" s="55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9" t="inlineStr">
        <is>
          <t>Versión</t>
        </is>
      </c>
      <c r="P39" s="48" t="n"/>
      <c r="Q39" s="48" t="n"/>
      <c r="R39" s="48" t="n"/>
      <c r="S39" s="48" t="n"/>
      <c r="T39" s="48" t="n"/>
      <c r="U39" s="49" t="n"/>
      <c r="V39" s="42" t="inlineStr">
        <is>
          <t>Autor</t>
        </is>
      </c>
      <c r="W39" s="48" t="n"/>
      <c r="X39" s="48" t="n"/>
      <c r="Y39" s="48" t="n"/>
      <c r="Z39" s="48" t="n"/>
      <c r="AA39" s="48" t="n"/>
      <c r="AB39" s="49" t="n"/>
      <c r="AC39" s="43" t="inlineStr">
        <is>
          <t>Descripción</t>
        </is>
      </c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9" t="n"/>
      <c r="AP39" s="42" t="inlineStr">
        <is>
          <t>Fecha de elaboración</t>
        </is>
      </c>
      <c r="AQ39" s="48" t="n"/>
      <c r="AR39" s="48" t="n"/>
      <c r="AS39" s="48" t="n"/>
      <c r="AT39" s="48" t="n"/>
      <c r="AU39" s="48" t="n"/>
      <c r="AV39" s="49" t="n"/>
      <c r="AW39" s="42" t="inlineStr">
        <is>
          <t>Fecha de revisión</t>
        </is>
      </c>
      <c r="AX39" s="48" t="n"/>
      <c r="AY39" s="48" t="n"/>
      <c r="AZ39" s="48" t="n"/>
      <c r="BA39" s="48" t="n"/>
      <c r="BB39" s="48" t="n"/>
      <c r="BC39" s="49" t="n"/>
      <c r="BD39" s="42" t="inlineStr">
        <is>
          <t>Revisado por</t>
        </is>
      </c>
      <c r="BE39" s="48" t="n"/>
      <c r="BF39" s="48" t="n"/>
      <c r="BG39" s="48" t="n"/>
      <c r="BH39" s="48" t="n"/>
      <c r="BI39" s="48" t="n"/>
      <c r="BJ39" s="49" t="n"/>
    </row>
    <row r="40" ht="15" customHeight="1">
      <c r="A40" s="55" t="n"/>
      <c r="B40" s="55" t="n"/>
      <c r="C40" s="55" t="n"/>
      <c r="D40" s="55" t="n"/>
      <c r="E40" s="55" t="n"/>
      <c r="F40" s="55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54" t="n"/>
      <c r="U40" s="57" t="n"/>
      <c r="V40" s="68" t="n"/>
      <c r="AB40" s="57" t="n"/>
      <c r="AC40" s="68" t="n"/>
      <c r="AO40" s="57" t="n"/>
      <c r="AP40" s="68" t="n"/>
      <c r="AV40" s="57" t="n"/>
      <c r="AW40" s="68" t="n"/>
      <c r="BC40" s="57" t="n"/>
      <c r="BD40" s="68" t="n"/>
      <c r="BJ40" s="57" t="n"/>
    </row>
    <row r="41" ht="15" customHeight="1">
      <c r="A41" s="55" t="n"/>
      <c r="B41" s="55" t="n"/>
      <c r="C41" s="55" t="n"/>
      <c r="D41" s="55" t="n"/>
      <c r="E41" s="55" t="n"/>
      <c r="F41" s="55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1" t="n"/>
      <c r="P41" s="59" t="n"/>
      <c r="Q41" s="59" t="n"/>
      <c r="R41" s="59" t="n"/>
      <c r="S41" s="59" t="n"/>
      <c r="T41" s="59" t="n"/>
      <c r="U41" s="60" t="n"/>
      <c r="V41" s="58" t="n"/>
      <c r="W41" s="59" t="n"/>
      <c r="X41" s="59" t="n"/>
      <c r="Y41" s="59" t="n"/>
      <c r="Z41" s="59" t="n"/>
      <c r="AA41" s="59" t="n"/>
      <c r="AB41" s="60" t="n"/>
      <c r="AC41" s="58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60" t="n"/>
      <c r="AP41" s="58" t="n"/>
      <c r="AQ41" s="59" t="n"/>
      <c r="AR41" s="59" t="n"/>
      <c r="AS41" s="59" t="n"/>
      <c r="AT41" s="59" t="n"/>
      <c r="AU41" s="59" t="n"/>
      <c r="AV41" s="60" t="n"/>
      <c r="AW41" s="58" t="n"/>
      <c r="AX41" s="59" t="n"/>
      <c r="AY41" s="59" t="n"/>
      <c r="AZ41" s="59" t="n"/>
      <c r="BA41" s="59" t="n"/>
      <c r="BB41" s="59" t="n"/>
      <c r="BC41" s="60" t="n"/>
      <c r="BD41" s="58" t="n"/>
      <c r="BE41" s="59" t="n"/>
      <c r="BF41" s="59" t="n"/>
      <c r="BG41" s="59" t="n"/>
      <c r="BH41" s="59" t="n"/>
      <c r="BI41" s="59" t="n"/>
      <c r="BJ41" s="60" t="n"/>
    </row>
    <row r="42" ht="15" customHeight="1">
      <c r="A42" s="55" t="n"/>
      <c r="B42" s="55" t="n"/>
      <c r="C42" s="55" t="n"/>
      <c r="D42" s="55" t="n"/>
      <c r="E42" s="55" t="n"/>
      <c r="F42" s="55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70" t="inlineStr">
        <is>
          <t>CERO (0)</t>
        </is>
      </c>
      <c r="P42" s="48" t="n"/>
      <c r="Q42" s="48" t="n"/>
      <c r="R42" s="48" t="n"/>
      <c r="S42" s="48" t="n"/>
      <c r="T42" s="48" t="n"/>
      <c r="U42" s="49" t="n"/>
      <c r="V42" s="37" t="inlineStr">
        <is>
          <t>J.ARBOLEDA</t>
        </is>
      </c>
      <c r="W42" s="48" t="n"/>
      <c r="X42" s="48" t="n"/>
      <c r="Y42" s="48" t="n"/>
      <c r="Z42" s="48" t="n"/>
      <c r="AA42" s="48" t="n"/>
      <c r="AB42" s="49" t="n"/>
      <c r="AC42" s="38" t="inlineStr">
        <is>
          <t>Emitido para cotizacion</t>
        </is>
      </c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9" t="n"/>
      <c r="AP42" s="39">
        <f>BO3</f>
        <v/>
      </c>
      <c r="AQ42" s="48" t="n"/>
      <c r="AR42" s="48" t="n"/>
      <c r="AS42" s="48" t="n"/>
      <c r="AT42" s="48" t="n"/>
      <c r="AU42" s="48" t="n"/>
      <c r="AV42" s="49" t="n"/>
      <c r="AW42" s="39">
        <f>AT27</f>
        <v/>
      </c>
      <c r="AX42" s="48" t="n"/>
      <c r="AY42" s="48" t="n"/>
      <c r="AZ42" s="48" t="n"/>
      <c r="BA42" s="48" t="n"/>
      <c r="BB42" s="48" t="n"/>
      <c r="BC42" s="49" t="n"/>
      <c r="BD42" s="40">
        <f>BO5</f>
        <v/>
      </c>
      <c r="BE42" s="48" t="n"/>
      <c r="BF42" s="48" t="n"/>
      <c r="BG42" s="48" t="n"/>
      <c r="BH42" s="48" t="n"/>
      <c r="BI42" s="48" t="n"/>
      <c r="BJ42" s="49" t="n"/>
    </row>
    <row r="43" ht="15" customHeight="1">
      <c r="A43" s="55" t="n"/>
      <c r="B43" s="55" t="n"/>
      <c r="C43" s="55" t="n"/>
      <c r="D43" s="55" t="n"/>
      <c r="E43" s="55" t="n"/>
      <c r="F43" s="55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54" t="n"/>
      <c r="U43" s="57" t="n"/>
      <c r="V43" s="68" t="n"/>
      <c r="AB43" s="57" t="n"/>
      <c r="AC43" s="68" t="n"/>
      <c r="AO43" s="57" t="n"/>
      <c r="AP43" s="68" t="n"/>
      <c r="AV43" s="57" t="n"/>
      <c r="AW43" s="68" t="n"/>
      <c r="BC43" s="57" t="n"/>
      <c r="BD43" s="68" t="n"/>
      <c r="BJ43" s="57" t="n"/>
      <c r="BP43" s="21" t="n"/>
    </row>
    <row r="44" ht="15" customHeight="1">
      <c r="A44" s="55" t="n"/>
      <c r="B44" s="55" t="n"/>
      <c r="C44" s="55" t="n"/>
      <c r="D44" s="55" t="n"/>
      <c r="E44" s="55" t="n"/>
      <c r="F44" s="55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1" t="n"/>
      <c r="P44" s="59" t="n"/>
      <c r="Q44" s="59" t="n"/>
      <c r="R44" s="59" t="n"/>
      <c r="S44" s="59" t="n"/>
      <c r="T44" s="59" t="n"/>
      <c r="U44" s="60" t="n"/>
      <c r="V44" s="58" t="n"/>
      <c r="W44" s="59" t="n"/>
      <c r="X44" s="59" t="n"/>
      <c r="Y44" s="59" t="n"/>
      <c r="Z44" s="59" t="n"/>
      <c r="AA44" s="59" t="n"/>
      <c r="AB44" s="60" t="n"/>
      <c r="AC44" s="58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60" t="n"/>
      <c r="AP44" s="58" t="n"/>
      <c r="AQ44" s="59" t="n"/>
      <c r="AR44" s="59" t="n"/>
      <c r="AS44" s="59" t="n"/>
      <c r="AT44" s="59" t="n"/>
      <c r="AU44" s="59" t="n"/>
      <c r="AV44" s="60" t="n"/>
      <c r="AW44" s="58" t="n"/>
      <c r="AX44" s="59" t="n"/>
      <c r="AY44" s="59" t="n"/>
      <c r="AZ44" s="59" t="n"/>
      <c r="BA44" s="59" t="n"/>
      <c r="BB44" s="59" t="n"/>
      <c r="BC44" s="60" t="n"/>
      <c r="BD44" s="58" t="n"/>
      <c r="BE44" s="59" t="n"/>
      <c r="BF44" s="59" t="n"/>
      <c r="BG44" s="59" t="n"/>
      <c r="BH44" s="59" t="n"/>
      <c r="BI44" s="59" t="n"/>
      <c r="BJ44" s="60" t="n"/>
    </row>
    <row r="45" ht="15" customHeight="1">
      <c r="A45" s="55" t="n"/>
      <c r="B45" s="55" t="n"/>
      <c r="C45" s="55" t="n"/>
      <c r="D45" s="55" t="n"/>
      <c r="E45" s="55" t="n"/>
      <c r="F45" s="55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71" t="n"/>
      <c r="P45" s="48" t="n"/>
      <c r="Q45" s="48" t="n"/>
      <c r="R45" s="48" t="n"/>
      <c r="S45" s="48" t="n"/>
      <c r="T45" s="48" t="n"/>
      <c r="U45" s="49" t="n"/>
      <c r="V45" s="20" t="n"/>
      <c r="W45" s="48" t="n"/>
      <c r="X45" s="48" t="n"/>
      <c r="Y45" s="48" t="n"/>
      <c r="Z45" s="48" t="n"/>
      <c r="AA45" s="48" t="n"/>
      <c r="AB45" s="49" t="n"/>
      <c r="AC45" s="22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9" t="n"/>
      <c r="AP45" s="20" t="n"/>
      <c r="AQ45" s="48" t="n"/>
      <c r="AR45" s="48" t="n"/>
      <c r="AS45" s="48" t="n"/>
      <c r="AT45" s="48" t="n"/>
      <c r="AU45" s="48" t="n"/>
      <c r="AV45" s="49" t="n"/>
      <c r="AW45" s="20" t="n"/>
      <c r="AX45" s="48" t="n"/>
      <c r="AY45" s="48" t="n"/>
      <c r="AZ45" s="48" t="n"/>
      <c r="BA45" s="48" t="n"/>
      <c r="BB45" s="48" t="n"/>
      <c r="BC45" s="49" t="n"/>
      <c r="BD45" s="20" t="n"/>
      <c r="BE45" s="48" t="n"/>
      <c r="BF45" s="48" t="n"/>
      <c r="BG45" s="48" t="n"/>
      <c r="BH45" s="48" t="n"/>
      <c r="BI45" s="48" t="n"/>
      <c r="BJ45" s="49" t="n"/>
    </row>
    <row r="46" ht="15" customHeight="1">
      <c r="A46" s="55" t="n"/>
      <c r="B46" s="55" t="n"/>
      <c r="C46" s="55" t="n"/>
      <c r="D46" s="55" t="n"/>
      <c r="E46" s="55" t="n"/>
      <c r="F46" s="55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54" t="n"/>
      <c r="U46" s="57" t="n"/>
      <c r="V46" s="68" t="n"/>
      <c r="AB46" s="57" t="n"/>
      <c r="AC46" s="68" t="n"/>
      <c r="AO46" s="57" t="n"/>
      <c r="AP46" s="68" t="n"/>
      <c r="AV46" s="57" t="n"/>
      <c r="AW46" s="68" t="n"/>
      <c r="BC46" s="57" t="n"/>
      <c r="BD46" s="68" t="n"/>
      <c r="BJ46" s="57" t="n"/>
    </row>
    <row r="47" ht="15" customHeight="1">
      <c r="A47" s="55" t="n"/>
      <c r="B47" s="55" t="n"/>
      <c r="C47" s="55" t="n"/>
      <c r="D47" s="55" t="n"/>
      <c r="E47" s="55" t="n"/>
      <c r="F47" s="55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1" t="n"/>
      <c r="P47" s="59" t="n"/>
      <c r="Q47" s="59" t="n"/>
      <c r="R47" s="59" t="n"/>
      <c r="S47" s="59" t="n"/>
      <c r="T47" s="59" t="n"/>
      <c r="U47" s="60" t="n"/>
      <c r="V47" s="58" t="n"/>
      <c r="W47" s="59" t="n"/>
      <c r="X47" s="59" t="n"/>
      <c r="Y47" s="59" t="n"/>
      <c r="Z47" s="59" t="n"/>
      <c r="AA47" s="59" t="n"/>
      <c r="AB47" s="60" t="n"/>
      <c r="AC47" s="58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60" t="n"/>
      <c r="AP47" s="58" t="n"/>
      <c r="AQ47" s="59" t="n"/>
      <c r="AR47" s="59" t="n"/>
      <c r="AS47" s="59" t="n"/>
      <c r="AT47" s="59" t="n"/>
      <c r="AU47" s="59" t="n"/>
      <c r="AV47" s="60" t="n"/>
      <c r="AW47" s="58" t="n"/>
      <c r="AX47" s="59" t="n"/>
      <c r="AY47" s="59" t="n"/>
      <c r="AZ47" s="59" t="n"/>
      <c r="BA47" s="59" t="n"/>
      <c r="BB47" s="59" t="n"/>
      <c r="BC47" s="60" t="n"/>
      <c r="BD47" s="58" t="n"/>
      <c r="BE47" s="59" t="n"/>
      <c r="BF47" s="59" t="n"/>
      <c r="BG47" s="59" t="n"/>
      <c r="BH47" s="59" t="n"/>
      <c r="BI47" s="59" t="n"/>
      <c r="BJ47" s="60" t="n"/>
    </row>
    <row r="48" ht="15" customHeight="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72" t="n"/>
      <c r="V48" s="19" t="n"/>
      <c r="AC48" s="19" t="n"/>
      <c r="AP48" s="19" t="n"/>
      <c r="AW48" s="19" t="n"/>
      <c r="BD48" s="19" t="n"/>
    </row>
    <row r="49" ht="15" customHeight="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</row>
    <row r="50" ht="15" customHeight="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</row>
    <row r="52" ht="15" customHeight="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</row>
    <row r="54" ht="15" customHeight="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30.6" customWidth="1" min="1" max="1"/>
    <col width="12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29.25" customHeight="1">
      <c r="A1" s="74" t="n"/>
      <c r="B1" s="75" t="n"/>
      <c r="C1" s="74">
        <f>PORTADA!Z1</f>
        <v/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76" t="inlineStr">
        <is>
          <t>CODIGO:</t>
        </is>
      </c>
      <c r="N1" s="77">
        <f>PORTADA!BO1</f>
        <v/>
      </c>
      <c r="O1" s="66" t="n"/>
    </row>
    <row r="2" ht="29.25" customHeight="1">
      <c r="A2" s="78" t="n"/>
      <c r="B2" s="78" t="n"/>
      <c r="C2" s="74">
        <f>PORTADA!Z3</f>
        <v/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6" t="n"/>
      <c r="M2" s="76" t="inlineStr">
        <is>
          <t>REVISION:</t>
        </is>
      </c>
      <c r="N2" s="77">
        <f>PORTADA!BO2</f>
        <v/>
      </c>
      <c r="O2" s="66" t="n"/>
    </row>
    <row r="3" ht="29.25" customHeight="1">
      <c r="A3" s="78" t="n"/>
      <c r="B3" s="78" t="n"/>
      <c r="C3" s="61" t="n"/>
      <c r="D3" s="62" t="n"/>
      <c r="E3" s="62" t="n"/>
      <c r="F3" s="62" t="n"/>
      <c r="G3" s="62" t="n"/>
      <c r="H3" s="62" t="n"/>
      <c r="I3" s="62" t="n"/>
      <c r="J3" s="62" t="n"/>
      <c r="K3" s="62" t="n"/>
      <c r="L3" s="63" t="n"/>
      <c r="M3" s="76" t="inlineStr">
        <is>
          <t>FECHA:</t>
        </is>
      </c>
      <c r="N3" s="77">
        <f>PORTADA!BO3</f>
        <v/>
      </c>
      <c r="O3" s="66" t="n"/>
    </row>
    <row r="4" ht="29.25" customHeight="1">
      <c r="A4" s="78" t="n"/>
      <c r="B4" s="78" t="n"/>
      <c r="C4" s="74">
        <f>PORTADA!Z5</f>
        <v/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6" t="n"/>
      <c r="M4" s="76" t="inlineStr">
        <is>
          <t>ELABORO:</t>
        </is>
      </c>
      <c r="N4" s="77">
        <f>PORTADA!BO4</f>
        <v/>
      </c>
      <c r="O4" s="66" t="n"/>
    </row>
    <row r="5" ht="29.25" customHeight="1">
      <c r="A5" s="79" t="n"/>
      <c r="B5" s="79" t="n"/>
      <c r="C5" s="54" t="n"/>
      <c r="D5" s="55" t="n"/>
      <c r="E5" s="55" t="n"/>
      <c r="F5" s="55" t="n"/>
      <c r="G5" s="55" t="n"/>
      <c r="H5" s="55" t="n"/>
      <c r="I5" s="55" t="n"/>
      <c r="J5" s="55" t="n"/>
      <c r="K5" s="55" t="n"/>
      <c r="L5" s="56" t="n"/>
      <c r="M5" s="76" t="inlineStr">
        <is>
          <t xml:space="preserve">REVISO:      </t>
        </is>
      </c>
      <c r="N5" s="77">
        <f>PORTADA!BO5</f>
        <v/>
      </c>
      <c r="O5" s="66" t="n"/>
    </row>
    <row r="6" ht="29.25" customHeight="1">
      <c r="A6" s="76" t="inlineStr">
        <is>
          <t>PROYECTO:</t>
        </is>
      </c>
      <c r="B6" s="74">
        <f>PORTADA!N6</f>
        <v/>
      </c>
      <c r="C6" s="61" t="n"/>
      <c r="D6" s="62" t="n"/>
      <c r="E6" s="62" t="n"/>
      <c r="F6" s="62" t="n"/>
      <c r="G6" s="62" t="n"/>
      <c r="H6" s="62" t="n"/>
      <c r="I6" s="62" t="n"/>
      <c r="J6" s="62" t="n"/>
      <c r="K6" s="62" t="n"/>
      <c r="L6" s="63" t="n"/>
      <c r="M6" s="76" t="inlineStr">
        <is>
          <t>APROBO:</t>
        </is>
      </c>
      <c r="N6" s="77">
        <f>PORTADA!BO6</f>
        <v/>
      </c>
      <c r="O6" s="66" t="n"/>
    </row>
    <row r="7" ht="25" customHeight="1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</row>
    <row r="8" ht="45" customHeight="1">
      <c r="A8" s="81" t="inlineStr">
        <is>
          <t>LISTADO DE EQUIPOS Y MATERIALES (BOQ): SISTEMA DE VENTILACIÓN DEL LABORATORIO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</row>
    <row r="9" ht="450" customHeight="1">
      <c r="A9" s="82" t="inlineStr">
        <is>
          <t>Listado de equipos y materiales (BOQ): sistema de ventilación del laboratorio</t>
        </is>
      </c>
    </row>
    <row r="10" ht="210" customHeight="1">
      <c r="A10" s="83" t="inlineStr">
        <is>
          <t>Proyecto: P2437-HV-INF-001 — BRINSA, laboratorio de análisis industrial, Cajicá (Cundinamarca)</t>
        </is>
      </c>
    </row>
    <row r="11" ht="15" customHeight="1"/>
    <row r="12" ht="60" customHeight="1">
      <c r="A12" s="83" t="inlineStr">
        <is>
          <t>Documento: listado_equipos.md — Revisión 1</t>
        </is>
      </c>
    </row>
    <row r="13" ht="195" customHeight="1">
      <c r="A13" s="83" t="inlineStr">
        <is>
          <t>Fecha: 2026-07-27 (fuentes consultadas el 2026-07-23; frente de ventiladores axiales ampliado el 2026-07-27)</t>
        </is>
      </c>
    </row>
    <row r="14" ht="15" customHeight="1"/>
    <row r="15" ht="150" customHeight="1">
      <c r="A15" s="83" t="inlineStr">
        <is>
          <t>Base: informe_investigacion.md (misma revisión); punto de diseño 3 840 m³/h @ 165 Pa en el sitio (225 Pa equivalente de catálogo, ρ = 1.2 kg/m³).</t>
        </is>
      </c>
    </row>
    <row r="16" ht="15" customHeight="1"/>
    <row r="17" ht="15" customHeight="1"/>
    <row r="18" ht="150" customHeight="1">
      <c r="A18" s="83" t="inlineStr">
        <is>
          <t>Nota de revisión REV1 — 2026-07-27: cambio de alcance del cliente — sistema sin presurización, ventilador axial, sin instrumentación de presión diferencial.</t>
        </is>
      </c>
    </row>
    <row r="19" ht="15" customHeight="1"/>
    <row r="20" ht="15" customHeight="1"/>
    <row r="21" ht="15" customHeight="1"/>
    <row r="22" ht="75" customHeight="1">
      <c r="A22" s="84" t="inlineStr">
        <is>
          <t>1. Alcance del suministro</t>
        </is>
      </c>
    </row>
    <row r="23" ht="150" customHeight="1">
      <c r="A23" s="83" t="inlineStr">
        <is>
          <t>1.1. El listado cubre todo lo necesario para que el sistema sea funcional: máquina de impulsión, etapa filtrante, rejillas de descarga y montaje, incluidas las protecciones eléctricas exigidas por RETIE/NTC 2050. Las cantidades corresponden a un (1) sistema completo para el laboratorio de 320 m³ (12 renovaciones/h).</t>
        </is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90" customHeight="1">
      <c r="A30" s="84" t="inlineStr">
        <is>
          <t>2. Tabla de equipos y materiales</t>
        </is>
      </c>
    </row>
    <row r="31" ht="135" customHeight="1">
      <c r="A31" s="85" t="inlineStr">
        <is>
          <t>Tabla 1. BOQ del sistema de ventilación (consulta de fuentes 2026-07-23, ampliada 2026-07-27).</t>
        </is>
      </c>
    </row>
    <row r="32" ht="15" customHeight="1"/>
    <row r="33" ht="120" customHeight="1">
      <c r="A33" s="86" t="inlineStr">
        <is>
          <t>Ítem</t>
        </is>
      </c>
      <c r="B33" s="86" t="inlineStr">
        <is>
          <t>Función</t>
        </is>
      </c>
      <c r="C33" s="86" t="n"/>
      <c r="D33" s="86" t="inlineStr">
        <is>
          <t>Especificación clave</t>
        </is>
      </c>
      <c r="E33" s="86" t="n"/>
      <c r="F33" s="86" t="n"/>
      <c r="G33" s="86" t="inlineStr">
        <is>
          <t>Material / compatibilidad corrosiva</t>
        </is>
      </c>
      <c r="H33" s="86" t="n"/>
      <c r="I33" s="86" t="inlineStr">
        <is>
          <t>Cant.</t>
        </is>
      </c>
      <c r="J33" s="86" t="inlineStr">
        <is>
          <t>Candidatos comerciales (fabricante/modelo)</t>
        </is>
      </c>
      <c r="K33" s="86" t="n"/>
      <c r="L33" s="86" t="n"/>
      <c r="M33" s="86" t="inlineStr">
        <is>
          <t>Fuente</t>
        </is>
      </c>
      <c r="N33" s="86" t="n"/>
      <c r="O33" s="86" t="n"/>
    </row>
    <row r="34" ht="810" customHeight="1">
      <c r="A34" s="87" t="inlineStr">
        <is>
          <t>1</t>
        </is>
      </c>
      <c r="B34" s="87" t="inlineStr">
        <is>
          <t>Ventilador de impulsión</t>
        </is>
      </c>
      <c r="C34" s="88" t="n"/>
      <c r="D34" s="87" t="inlineStr">
        <is>
          <t>Axial tubeaxial, transmisión por bandas; 3 840 m³/h @ 225 Pa (catálogo, ρ = 1.2 kg/m³) ≡ 165 Pa en sitio; AMCA 210; tamaño/RPM por confirmar con proveedor</t>
        </is>
      </c>
      <c r="E34" s="88" t="n"/>
      <c r="F34" s="88" t="n"/>
      <c r="G34" s="87" t="inlineStr">
        <is>
          <t>PRFV viniléster (ASTM C582/D4167); motor fuera de la corriente de aire</t>
        </is>
      </c>
      <c r="H34" s="88" t="n"/>
      <c r="I34" s="87" t="inlineStr">
        <is>
          <t>1</t>
        </is>
      </c>
      <c r="J34" s="87" t="inlineStr">
        <is>
          <t>Aerovent FBD (Twin City Fan, Catálogo 185); Greenheck VAB (vaneaxial epóxico, Prime Lines HVAC, Bogotá); Sodeca HCT/HGT anticorrosivo PRFV; NYB FRP tubeaxial; Plastec PP</t>
        </is>
      </c>
      <c r="K34" s="88" t="n"/>
      <c r="L34" s="88" t="n"/>
      <c r="M34" s="87" t="inlineStr">
        <is>
          <t>Aerovent Cat. 185 (PDF) (https://www.aerovent.com/wp-content/uploads/sites/2/2024/07/Fiberglass-Fans-Axial-Flow-Model-FBD-FDP-FRV-TFBD-VTFBD-Catalog-185.pdf); Greenheck VAB/VAD (PDF) (https://content.greenheck.com/public/DAMProd/Original/10003/vane_axial_catalog.pdf); Sodeca (https://www.sodeca.com)</t>
        </is>
      </c>
      <c r="N34" s="88" t="n"/>
      <c r="O34" s="88" t="n"/>
    </row>
    <row r="35" ht="525" customHeight="1">
      <c r="A35" s="87" t="inlineStr">
        <is>
          <t>2</t>
        </is>
      </c>
      <c r="B35" s="87" t="inlineStr">
        <is>
          <t>Motor del ventilador</t>
        </is>
      </c>
      <c r="C35" s="88" t="n"/>
      <c r="D35" s="87" t="inlineStr">
        <is>
          <t>0.75 HP (provisional, confirmar con curva de selección final), TEFC, 1 800 RPM (4 polos), 60 Hz, clase F, IP55 mín., severe duty epóxico; 440 V 3φ (confirmado por el cliente, 2026-07-23)</t>
        </is>
      </c>
      <c r="E35" s="88" t="n"/>
      <c r="F35" s="88" t="n"/>
      <c r="G35" s="87" t="inlineStr">
        <is>
          <t>Pintura epóxica + protección interna anticorrosiva; motor fuera de la corriente (transmisión por bandas)</t>
        </is>
      </c>
      <c r="H35" s="88" t="n"/>
      <c r="I35" s="87" t="inlineStr">
        <is>
          <t>1</t>
        </is>
      </c>
      <c r="J35" s="87" t="inlineStr">
        <is>
          <t>Leeson/Regal Severe Duty; Baldor-Reliance IEEE 841XL; WEG W22 IEEE 841</t>
        </is>
      </c>
      <c r="K35" s="88" t="n"/>
      <c r="L35" s="88" t="n"/>
      <c r="M35" s="87" t="inlineStr">
        <is>
          <t>Leeson (PDF) (https://www.regalrexnord.com/-/media/documents/brands/literature/industries/leeson_product_catalog_1050.pdf); Baldor 841XL (https://www.baldor.com/mvc/DownloadCenter/Files/9AKK108319)</t>
        </is>
      </c>
      <c r="N35" s="88" t="n"/>
      <c r="O35" s="88" t="n"/>
    </row>
    <row r="36" ht="465" customHeight="1">
      <c r="A36" s="87" t="inlineStr">
        <is>
          <t>3</t>
        </is>
      </c>
      <c r="B36" s="87" t="inlineStr">
        <is>
          <t>Prefiltro (etapa 1)</t>
        </is>
      </c>
      <c r="C36" s="88" t="n"/>
      <c r="D36" s="87" t="inlineStr">
        <is>
          <t>Plisado MERV 8 (ASHRAE 52.2); ΔP limpio 50-75 Pa, final 250 Pa (catálogo); 24×24 in</t>
        </is>
      </c>
      <c r="E36" s="88" t="n"/>
      <c r="F36" s="88" t="n"/>
      <c r="G36" s="87" t="inlineStr">
        <is>
          <t>Marco cartón hidrófugo; inspección de corrosión de la rejilla soporte en el primer año</t>
        </is>
      </c>
      <c r="H36" s="88" t="n"/>
      <c r="I36" s="87" t="inlineStr">
        <is>
          <t>1 (+ repuestos)</t>
        </is>
      </c>
      <c r="J36" s="87" t="inlineStr">
        <is>
          <t>Camfil 30/30 / Dual 9; Koch Multi-Pleat XL8</t>
        </is>
      </c>
      <c r="K36" s="88" t="n"/>
      <c r="L36" s="88" t="n"/>
      <c r="M36" s="87" t="inlineStr">
        <is>
          <t>Camfil 30/30 (PDF) (https://cdn.lsicloud.net/pandhwhsal/documents/406331002-SPS.pdf); Koch XL8 (PDF) (https://fsifiltration.com/wp-content/uploads/2020/08/Pleated-MERV8.pdf)</t>
        </is>
      </c>
      <c r="N36" s="88" t="n"/>
      <c r="O36" s="88" t="n"/>
    </row>
    <row r="37" ht="660" customHeight="1">
      <c r="A37" s="87" t="inlineStr">
        <is>
          <t>4</t>
        </is>
      </c>
      <c r="B37" s="87" t="inlineStr">
        <is>
          <t>Filtro final (etapa 2)</t>
        </is>
      </c>
      <c r="C37" s="88" t="n"/>
      <c r="D37" s="87" t="inlineStr">
        <is>
          <t>V-bank MERV 13-14 (52.2) ≡ ePM1 50-70 % (ISO 16890); ΔP limpio 80 Pa / final 210 Pa (catálogo) ≡ 59/154 Pa en sitio; 24×24 in</t>
        </is>
      </c>
      <c r="E37" s="88" t="n"/>
      <c r="F37" s="88" t="n"/>
      <c r="G37" s="87" t="inlineStr">
        <is>
          <t>Marco 100 % plástico (ABS/HIPS), sin metal; juntas PU</t>
        </is>
      </c>
      <c r="H37" s="88" t="n"/>
      <c r="I37" s="87" t="inlineStr">
        <is>
          <t>1 (+ repuestos)</t>
        </is>
      </c>
      <c r="J37" s="87" t="inlineStr">
        <is>
          <t>Camfil Durafil ES2 (MERV 14); AAF VariCel VXL; Freudenberg MaxiPleat MX 85</t>
        </is>
      </c>
      <c r="K37" s="88" t="n"/>
      <c r="L37" s="88" t="n"/>
      <c r="M37" s="87" t="inlineStr">
        <is>
          <t>Durafil ES2 (PDF) (https://cdn.lsicloud.net/pandhwhsal/documents/855080-003.pdf); AAF VXL (PDF) (https://aafterms.aafintl.com/-/media/files/aaf/commercial-and-industrial/us-products/box-filters/varicel-vxl/varicel-vxl_prod_mark_sht_afp-1-162.pdf)</t>
        </is>
      </c>
      <c r="N37" s="88" t="n"/>
      <c r="O37" s="88" t="n"/>
    </row>
    <row r="38" ht="420" customHeight="1">
      <c r="A38" s="87" t="inlineStr">
        <is>
          <t>5</t>
        </is>
      </c>
      <c r="B38" s="87" t="inlineStr">
        <is>
          <t>Marcos portafiltros</t>
        </is>
      </c>
      <c r="C38" s="88" t="n"/>
      <c r="D38" s="87" t="inlineStr">
        <is>
          <t>Holding frames para prefiltro + filtro final con junta continua</t>
        </is>
      </c>
      <c r="E38" s="88" t="n"/>
      <c r="F38" s="88" t="n"/>
      <c r="G38" s="87" t="inlineStr">
        <is>
          <t>Inox 304/316 (no galvanizado); junta PU/EPDM</t>
        </is>
      </c>
      <c r="H38" s="88" t="n"/>
      <c r="I38" s="87" t="inlineStr">
        <is>
          <t>1 juego</t>
        </is>
      </c>
      <c r="J38" s="87" t="inlineStr">
        <is>
          <t>Camfil MagnaFrame II (opción inox 304); Camfil Universal Holding Frame (inox)</t>
        </is>
      </c>
      <c r="K38" s="88" t="n"/>
      <c r="L38" s="88" t="n"/>
      <c r="M38" s="87" t="inlineStr">
        <is>
          <t>MagnaFrame II (https://www.camfil.com/en-ca/products/housings-frames--louvers/filter-holding-frames/filter-holding-frames/magnaframe-ii-gasket-seal-_-47771)</t>
        </is>
      </c>
      <c r="N38" s="88" t="n"/>
      <c r="O38" s="88" t="n"/>
    </row>
    <row r="39" ht="450" customHeight="1">
      <c r="A39" s="87" t="inlineStr">
        <is>
          <t>6</t>
        </is>
      </c>
      <c r="B39" s="87" t="inlineStr">
        <is>
          <t>Rejillas de descarga</t>
        </is>
      </c>
      <c r="C39" s="88" t="n"/>
      <c r="D39" s="87" t="inlineStr">
        <is>
          <t>Eggcrate ½ in, 353×336 mm facial; velocidad facial 3 m/s; ΔP 11 Pa en sitio (descarga libre); área libre ≥ 90 %</t>
        </is>
      </c>
      <c r="E39" s="88" t="n"/>
      <c r="F39" s="88" t="n"/>
      <c r="G39" s="87" t="inlineStr">
        <is>
          <t>Inox 316L (alternativa: aluminio anodizado 6063-T5); ensayo ASHRAE 70</t>
        </is>
      </c>
      <c r="H39" s="88" t="n"/>
      <c r="I39" s="87" t="inlineStr">
        <is>
          <t>3</t>
        </is>
      </c>
      <c r="J39" s="87" t="inlineStr">
        <is>
          <t>Titus 50F (versión inox); fabricación local ProAire S.A.S (corte láser inox); Laminaire</t>
        </is>
      </c>
      <c r="K39" s="88" t="n"/>
      <c r="L39" s="88" t="n"/>
      <c r="M39" s="87" t="inlineStr">
        <is>
          <t>Titus 50F (PDF) (https://www.titus-hvac.com/file/1228/50F_50Rrprod_specialized_2017.pdf); ProAire (https://www.proairecolombia.com/productos/rejillas-y-difusores.html)</t>
        </is>
      </c>
      <c r="N39" s="88" t="n"/>
      <c r="O39" s="88" t="n"/>
    </row>
    <row r="40" ht="375" customHeight="1">
      <c r="A40" s="87" t="inlineStr">
        <is>
          <t>7</t>
        </is>
      </c>
      <c r="B40" s="87" t="inlineStr">
        <is>
          <t>Malla anti-insectos</t>
        </is>
      </c>
      <c r="C40" s="88" t="n"/>
      <c r="D40" s="87" t="inlineStr">
        <is>
          <t>Tejido 18×18, abertura ≈1 mm, área abierta ≥ 48 %; marco desmontable para limpieza</t>
        </is>
      </c>
      <c r="E40" s="88" t="n"/>
      <c r="F40" s="88" t="n"/>
      <c r="G40" s="87" t="inlineStr">
        <is>
          <t>Inox 316</t>
        </is>
      </c>
      <c r="H40" s="88" t="n"/>
      <c r="I40" s="87" t="inlineStr">
        <is>
          <t>3 (una por rejilla)</t>
        </is>
      </c>
      <c r="J40" s="87" t="inlineStr">
        <is>
          <t>Proveedores de malla inox tejida (especificación genérica 18×18, alambre 0.45 mm)</t>
        </is>
      </c>
      <c r="K40" s="88" t="n"/>
      <c r="L40" s="88" t="n"/>
      <c r="M40" s="87" t="inlineStr">
        <is>
          <t>Tabla área abierta (https://www.industrialmetalmesh.com/sale-54819921-micron-304-316l-stainless-steel-wire-mesh-screen-filter-mesh.html)</t>
        </is>
      </c>
      <c r="N40" s="88" t="n"/>
      <c r="O40" s="88" t="n"/>
    </row>
    <row r="41" ht="270" customHeight="1">
      <c r="A41" s="87" t="inlineStr">
        <is>
          <t>8</t>
        </is>
      </c>
      <c r="B41" s="87" t="inlineStr">
        <is>
          <t>Soportes y ferretería</t>
        </is>
      </c>
      <c r="C41" s="88" t="n"/>
      <c r="D41" s="87" t="inlineStr">
        <is>
          <t>Soportes de ventilador y rejillas; pernos, tuercas, arandelas</t>
        </is>
      </c>
      <c r="E41" s="88" t="n"/>
      <c r="F41" s="88" t="n"/>
      <c r="G41" s="87" t="inlineStr">
        <is>
          <t>Inox 316 (clase A4); aislamiento dieléctrico frente a galvanizado</t>
        </is>
      </c>
      <c r="H41" s="88" t="n"/>
      <c r="I41" s="87" t="inlineStr">
        <is>
          <t>Lote</t>
        </is>
      </c>
      <c r="J41" s="87" t="inlineStr">
        <is>
          <t>Suministro nacional genérico A4</t>
        </is>
      </c>
      <c r="K41" s="88" t="n"/>
      <c r="L41" s="88" t="n"/>
      <c r="M41" s="87" t="inlineStr">
        <is>
          <t>Marsh Fasteners (criterio 304 vs 316) (https://marshfasteners.com/304-vs-316-stainless-steel-bolts/)</t>
        </is>
      </c>
      <c r="N41" s="88" t="n"/>
      <c r="O41" s="88" t="n"/>
    </row>
    <row r="42" ht="360" customHeight="1">
      <c r="A42" s="87" t="inlineStr">
        <is>
          <t>9</t>
        </is>
      </c>
      <c r="B42" s="87" t="inlineStr">
        <is>
          <t>Conexión flexible ventilador-pasamuros</t>
        </is>
      </c>
      <c r="C42" s="88" t="n"/>
      <c r="D42" s="87" t="inlineStr">
        <is>
          <t>Ancho ≥ 100 mm; bandas de amarre inox 316 cal. 24</t>
        </is>
      </c>
      <c r="E42" s="88" t="n"/>
      <c r="F42" s="88" t="n"/>
      <c r="G42" s="87" t="inlineStr">
        <is>
          <t>Hipalón (CSM); alternativa clorobutilo; no PVC estándar</t>
        </is>
      </c>
      <c r="H42" s="88" t="n"/>
      <c r="I42" s="87" t="inlineStr">
        <is>
          <t>1</t>
        </is>
      </c>
      <c r="J42" s="87" t="inlineStr">
        <is>
          <t>Hardcast Hypalon; Proco serie 500</t>
        </is>
      </c>
      <c r="K42" s="88" t="n"/>
      <c r="L42" s="88" t="n"/>
      <c r="M42" s="87" t="inlineStr">
        <is>
          <t>Hardcast (PDF) (https://6c2bd45d09da3c66a408-2b16a407535c695c8a76f8b06a56f342.ssl.cf2.rackcdn.com/GWB%20%20eCatalog%2006-25-16.pdf)</t>
        </is>
      </c>
      <c r="N42" s="88" t="n"/>
      <c r="O42" s="88" t="n"/>
    </row>
    <row r="43" ht="600" customHeight="1">
      <c r="A43" s="87" t="inlineStr">
        <is>
          <t>10</t>
        </is>
      </c>
      <c r="B43" s="87" t="inlineStr">
        <is>
          <t>Selladores</t>
        </is>
      </c>
      <c r="C43" s="88" t="n"/>
      <c r="D43" s="87" t="inlineStr">
        <is>
          <t>Sellado de pasamuros, marcos y empalmes</t>
        </is>
      </c>
      <c r="E43" s="88" t="n"/>
      <c r="F43" s="88" t="n"/>
      <c r="G43" s="87" t="inlineStr">
        <is>
          <t>Silicona RTV neutra (no acetoxi); PU solo en zonas sin cloro gaseoso directo</t>
        </is>
      </c>
      <c r="H43" s="88" t="n"/>
      <c r="I43" s="87" t="inlineStr">
        <is>
          <t>Lote</t>
        </is>
      </c>
      <c r="J43" s="87" t="inlineStr">
        <is>
          <t>Sikaflex / silicona neutra grado industrial (suministro nacional)</t>
        </is>
      </c>
      <c r="K43" s="88" t="n"/>
      <c r="L43" s="88" t="n"/>
      <c r="M43" s="87" t="inlineStr">
        <is>
          <t>RTV silicone (PDF) (https://irp.cdn-website.com/63168859/files/uploaded/Chemical%20Resistance%20of%20RTV%20Silicone%20Sealants%20Chart.pdf); Tabla PU (PDF) (https://www.apachepipe.com/assets/chemical-resistance-table.pdf)</t>
        </is>
      </c>
      <c r="N43" s="88" t="n"/>
      <c r="O43" s="88" t="n"/>
    </row>
    <row r="44" ht="240" customHeight="1">
      <c r="A44" s="87" t="inlineStr">
        <is>
          <t>11</t>
        </is>
      </c>
      <c r="B44" s="87" t="inlineStr">
        <is>
          <t>Protecciones eléctricas y tablero</t>
        </is>
      </c>
      <c r="C44" s="88" t="n"/>
      <c r="D44" s="87" t="inlineStr">
        <is>
          <t>Guardamotor, contactor, seccionador, puesta a tierra; tablero IP55/IP66 según ubicación</t>
        </is>
      </c>
      <c r="E44" s="88" t="n"/>
      <c r="F44" s="88" t="n"/>
      <c r="G44" s="87" t="inlineStr">
        <is>
          <t>Gabinete con tratamiento anticorrosivo; prensaestopas niquelados o inox</t>
        </is>
      </c>
      <c r="H44" s="88" t="n"/>
      <c r="I44" s="87" t="inlineStr">
        <is>
          <t>1</t>
        </is>
      </c>
      <c r="J44" s="87" t="inlineStr">
        <is>
          <t>Fabricación local certificada RETIE; componentes Siemens/ABB/WEG</t>
        </is>
      </c>
      <c r="K44" s="88" t="n"/>
      <c r="L44" s="88" t="n"/>
      <c r="M44" s="87" t="inlineStr">
        <is>
          <t>Requisito RETIE / NTC 2050 (normativo, no de catálogo)</t>
        </is>
      </c>
      <c r="N44" s="88" t="n"/>
      <c r="O44" s="88" t="n"/>
    </row>
    <row r="45" ht="210" customHeight="1">
      <c r="A45" s="87" t="inlineStr">
        <is>
          <t>12</t>
        </is>
      </c>
      <c r="B45" s="87" t="inlineStr">
        <is>
          <t>Cableado y canalización</t>
        </is>
      </c>
      <c r="C45" s="88" t="n"/>
      <c r="D45" s="87" t="inlineStr">
        <is>
          <t>Circuito de alimentación del motor 0.75 HP</t>
        </is>
      </c>
      <c r="E45" s="88" t="n"/>
      <c r="F45" s="88" t="n"/>
      <c r="G45" s="87" t="inlineStr">
        <is>
          <t>Canalización PVC Schedule 80 o conduit inox; no conduit galvanizado expuesto</t>
        </is>
      </c>
      <c r="H45" s="88" t="n"/>
      <c r="I45" s="87" t="inlineStr">
        <is>
          <t>Lote</t>
        </is>
      </c>
      <c r="J45" s="87" t="inlineStr">
        <is>
          <t>Suministro nacional certificado RETIE</t>
        </is>
      </c>
      <c r="K45" s="88" t="n"/>
      <c r="L45" s="88" t="n"/>
      <c r="M45" s="87" t="inlineStr">
        <is>
          <t>Requisito RETIE / NTC 2050</t>
        </is>
      </c>
      <c r="N45" s="88" t="n"/>
      <c r="O45" s="88" t="n"/>
    </row>
    <row r="46" ht="345" customHeight="1">
      <c r="A46" s="87" t="inlineStr">
        <is>
          <t>13</t>
        </is>
      </c>
      <c r="B46" s="87" t="inlineStr">
        <is>
          <t>Caja/housing de filtración y transición</t>
        </is>
      </c>
      <c r="C46" s="88" t="n"/>
      <c r="D46" s="87" t="inlineStr">
        <is>
          <t>Alojar portafiltros, malla anti-insectos y adaptar la boca cuadrada 24×24 in del filtro a la boca circular del ventilador axial</t>
        </is>
      </c>
      <c r="E46" s="88" t="n"/>
      <c r="F46" s="88" t="n"/>
      <c r="G46" s="87" t="inlineStr">
        <is>
          <t>Inox 316L o PRFV viniléster (mismo criterio anticorrosivo del ventilador); tapas de inspección, juntas PU</t>
        </is>
      </c>
      <c r="H46" s="88" t="n"/>
      <c r="I46" s="87" t="inlineStr">
        <is>
          <t>1</t>
        </is>
      </c>
      <c r="J46" s="87" t="inlineStr">
        <is>
          <t>Fabricación local a partir de planos del submittal del ventilador</t>
        </is>
      </c>
      <c r="K46" s="88" t="n"/>
      <c r="L46" s="88" t="n"/>
      <c r="M46" s="87" t="inlineStr">
        <is>
          <t>Derivado de HD-FILT-001 §7.3</t>
        </is>
      </c>
      <c r="N46" s="88" t="n"/>
      <c r="O46" s="88" t="n"/>
    </row>
    <row r="47" ht="15" customHeight="1"/>
    <row r="48" ht="15" customHeight="1"/>
    <row r="49" ht="60" customHeight="1">
      <c r="A49" s="84" t="inlineStr">
        <is>
          <t>3. Notas de suministro</t>
        </is>
      </c>
    </row>
    <row r="50" ht="165" customHeight="1">
      <c r="A50" s="83" t="inlineStr">
        <is>
          <t>3.1. Los ítems 1, 4 y 13 requieren cotización formal con submittal: la selección final de tamaño/RPM del ventilador (ítem 1), la potencia definitiva del motor (ítem 2) y las dimensiones de la caja de filtración/transición cuadrado-circular (ítem 13) se confirman con el software o planos del fabricante sobre el punto 3 840 m³/h @ 225 Pa aire estándar.</t>
        </is>
      </c>
    </row>
    <row r="51" ht="15" customHeight="1"/>
    <row r="52" ht="15" customHeight="1"/>
    <row r="53" ht="15" customHeight="1"/>
    <row r="54" ht="15" customHeight="1"/>
    <row r="55" ht="15" customHeight="1"/>
    <row r="56" ht="150" customHeight="1">
      <c r="A56" s="83" t="inlineStr">
        <is>
          <t>3.2. Ítems 3 y 4 son consumibles: se recomienda incluir en la compra inicial un juego de repuestos (un prefiltro y un filtro final) y congelar la especificación en términos MERV/ePM1 + 24×24 in para habilitar segunda fuente nacional (CARVEL S.A./Workclean; carvel.com.co (https://carvel.com.co/catalogo-workclean/filtros-de-aire-acondicionado-tipo-cartucho-fdcjm/), consulta 2026-07-23).</t>
        </is>
      </c>
    </row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65" customHeight="1">
      <c r="A63" s="83" t="inlineStr">
        <is>
          <t>3.3. La tensión de alimentación del motor es 440 V, 3φ, 60 Hz (confirmada por el cliente el 2026-07-23); de ella dependen el guardamotor y el cableado de los ítems 11-12. Los plazos de entrega de los equipos e importaciones se presupuestan con un máximo de 3 meses (dato del cliente, 2026-07-23).</t>
        </is>
      </c>
    </row>
    <row r="64" ht="15" customHeight="1"/>
    <row r="65" ht="15" customHeight="1"/>
    <row r="66" ht="15" customHeight="1"/>
    <row r="67" ht="15" customHeight="1"/>
  </sheetData>
  <mergeCells count="95">
    <mergeCell ref="M40:O40"/>
    <mergeCell ref="J35:L35"/>
    <mergeCell ref="N3:O3"/>
    <mergeCell ref="D37:F37"/>
    <mergeCell ref="M41:O41"/>
    <mergeCell ref="N5:O5"/>
    <mergeCell ref="D39:F39"/>
    <mergeCell ref="C2:L3"/>
    <mergeCell ref="J46:L46"/>
    <mergeCell ref="G34:H34"/>
    <mergeCell ref="B38:C38"/>
    <mergeCell ref="J39:L39"/>
    <mergeCell ref="B40:C40"/>
    <mergeCell ref="J38:L38"/>
    <mergeCell ref="B33:C33"/>
    <mergeCell ref="A50:O55"/>
    <mergeCell ref="M39:O39"/>
    <mergeCell ref="G44:H44"/>
    <mergeCell ref="J40:L40"/>
    <mergeCell ref="B41:C41"/>
    <mergeCell ref="B35:C35"/>
    <mergeCell ref="B1:B5"/>
    <mergeCell ref="D41:F41"/>
    <mergeCell ref="A10:O11"/>
    <mergeCell ref="A23:O28"/>
    <mergeCell ref="D43:F43"/>
    <mergeCell ref="J41:L41"/>
    <mergeCell ref="M37:O37"/>
    <mergeCell ref="G38:H38"/>
    <mergeCell ref="N2:O2"/>
    <mergeCell ref="A18:O20"/>
    <mergeCell ref="J43:L43"/>
    <mergeCell ref="A22:O22"/>
    <mergeCell ref="J33:L33"/>
    <mergeCell ref="M38:O38"/>
    <mergeCell ref="J42:L42"/>
    <mergeCell ref="G33:H33"/>
    <mergeCell ref="B37:C37"/>
    <mergeCell ref="M43:O43"/>
    <mergeCell ref="J44:L44"/>
    <mergeCell ref="A30:O30"/>
    <mergeCell ref="G35:H35"/>
    <mergeCell ref="N6:O6"/>
    <mergeCell ref="J37:L37"/>
    <mergeCell ref="D46:F46"/>
    <mergeCell ref="D40:F40"/>
    <mergeCell ref="M35:O35"/>
    <mergeCell ref="N4:O4"/>
    <mergeCell ref="A13:O14"/>
    <mergeCell ref="G42:H42"/>
    <mergeCell ref="G39:H39"/>
    <mergeCell ref="B43:C43"/>
    <mergeCell ref="M46:O46"/>
    <mergeCell ref="M33:O33"/>
    <mergeCell ref="A31:O32"/>
    <mergeCell ref="M42:O42"/>
    <mergeCell ref="B42:C42"/>
    <mergeCell ref="G37:H37"/>
    <mergeCell ref="A8:O8"/>
    <mergeCell ref="D33:F33"/>
    <mergeCell ref="A56:O62"/>
    <mergeCell ref="D42:F42"/>
    <mergeCell ref="B44:C44"/>
    <mergeCell ref="B34:C34"/>
    <mergeCell ref="D35:F35"/>
    <mergeCell ref="A63:O67"/>
    <mergeCell ref="D44:F44"/>
    <mergeCell ref="A1:A5"/>
    <mergeCell ref="A9:O9"/>
    <mergeCell ref="C1:L1"/>
    <mergeCell ref="D34:F34"/>
    <mergeCell ref="M44:O44"/>
    <mergeCell ref="G41:H41"/>
    <mergeCell ref="B45:C45"/>
    <mergeCell ref="D36:F36"/>
    <mergeCell ref="D45:F45"/>
    <mergeCell ref="J34:L34"/>
    <mergeCell ref="G43:H43"/>
    <mergeCell ref="J36:L36"/>
    <mergeCell ref="J45:L45"/>
    <mergeCell ref="B46:C46"/>
    <mergeCell ref="G36:H36"/>
    <mergeCell ref="B39:C39"/>
    <mergeCell ref="M36:O36"/>
    <mergeCell ref="M45:O45"/>
    <mergeCell ref="N1:O1"/>
    <mergeCell ref="D38:F38"/>
    <mergeCell ref="G45:H45"/>
    <mergeCell ref="M34:O34"/>
    <mergeCell ref="A15:O17"/>
    <mergeCell ref="C4:L6"/>
    <mergeCell ref="A49:O49"/>
    <mergeCell ref="B36:C36"/>
    <mergeCell ref="G46:H46"/>
    <mergeCell ref="G40:H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2026-07-27T19:36:58Z</dcterms:modified>
  <cp:lastModifiedBy>JAG DESIGN</cp:lastModifiedBy>
  <cp:lastPrinted>2026-07-23T18:36:47Z</cp:lastPrinted>
</cp:coreProperties>
</file>